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ornl.sharepoint.com/sites/QUEENS/Shared Documents/Analysis/Calculations/"/>
    </mc:Choice>
  </mc:AlternateContent>
  <xr:revisionPtr revIDLastSave="539" documentId="8_{0E4EB6CC-23DA-4498-8E20-F2E2C82E99CD}" xr6:coauthVersionLast="47" xr6:coauthVersionMax="47" xr10:uidLastSave="{3095E4DC-3F67-4530-9FAF-7F11D974E97B}"/>
  <bookViews>
    <workbookView xWindow="-120" yWindow="-120" windowWidth="51840" windowHeight="21120" xr2:uid="{9AC83259-F6A1-4A47-9E97-284DB7A1DDA4}"/>
  </bookViews>
  <sheets>
    <sheet name="1. Table_of_Contents" sheetId="12" r:id="rId1"/>
    <sheet name="2. Quantum_System_Configuration" sheetId="7" r:id="rId2"/>
    <sheet name="3. Energy_Resource_Calculations" sheetId="3" r:id="rId3"/>
    <sheet name="4.Energy_Resource_Quant_Summary" sheetId="9" r:id="rId4"/>
    <sheet name="5. Future_Quantum_Scaling" sheetId="11" r:id="rId5"/>
    <sheet name="6. References" sheetId="1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3" l="1"/>
  <c r="D53" i="3"/>
  <c r="E24" i="11" l="1"/>
  <c r="E23" i="11"/>
  <c r="E22" i="11"/>
  <c r="D24" i="11"/>
  <c r="D23" i="11"/>
  <c r="D22" i="11"/>
  <c r="C24" i="11"/>
  <c r="C23" i="11"/>
  <c r="C22" i="11"/>
  <c r="E20" i="11"/>
  <c r="E19" i="11"/>
  <c r="D20" i="11"/>
  <c r="D19" i="11"/>
  <c r="C20" i="11"/>
  <c r="C19" i="11"/>
  <c r="E18" i="11"/>
  <c r="D18" i="11"/>
  <c r="C18" i="11"/>
  <c r="C11" i="7"/>
  <c r="C14" i="11" l="1"/>
  <c r="F12" i="3" l="1"/>
  <c r="H14" i="3"/>
  <c r="G14" i="3"/>
  <c r="F14" i="3"/>
  <c r="H17" i="3" l="1"/>
  <c r="G17" i="3"/>
  <c r="F17" i="3"/>
  <c r="D50" i="3" l="1"/>
  <c r="C16" i="11" l="1"/>
  <c r="X26" i="11" s="1"/>
  <c r="C15" i="11" l="1"/>
  <c r="G7" i="3"/>
  <c r="H7" i="3"/>
  <c r="F7" i="3"/>
  <c r="G25" i="3"/>
  <c r="G19" i="3"/>
  <c r="F19" i="3"/>
  <c r="D5" i="7"/>
  <c r="D7" i="7" s="1"/>
  <c r="D8" i="7" s="1"/>
  <c r="E7" i="7"/>
  <c r="E8" i="7" s="1"/>
  <c r="E9" i="7" s="1"/>
  <c r="C7" i="7"/>
  <c r="C13" i="7"/>
  <c r="D13" i="7"/>
  <c r="C16" i="7"/>
  <c r="D16" i="7"/>
  <c r="X25" i="11" l="1"/>
  <c r="W25" i="11"/>
  <c r="C8" i="7"/>
  <c r="C9" i="7" s="1"/>
  <c r="C14" i="7" s="1"/>
  <c r="C15" i="7" s="1"/>
  <c r="D9" i="7"/>
  <c r="D14" i="7" s="1"/>
  <c r="D15" i="7" s="1"/>
  <c r="E3" i="9"/>
  <c r="G32" i="11" s="1"/>
  <c r="D3" i="9"/>
  <c r="I31" i="11" s="1"/>
  <c r="F3" i="9"/>
  <c r="G33" i="11" s="1"/>
  <c r="F20" i="3"/>
  <c r="G24" i="3"/>
  <c r="H20" i="3"/>
  <c r="H33" i="3" s="1"/>
  <c r="H25" i="3"/>
  <c r="F25" i="3"/>
  <c r="G20" i="3"/>
  <c r="G33" i="3" s="1"/>
  <c r="H19" i="3"/>
  <c r="F21" i="3" l="1"/>
  <c r="F54" i="3" s="1"/>
  <c r="F33" i="3"/>
  <c r="H31" i="11"/>
  <c r="H33" i="11"/>
  <c r="H32" i="11"/>
  <c r="G31" i="11"/>
  <c r="G30" i="11" s="1"/>
  <c r="I32" i="11"/>
  <c r="I33" i="11"/>
  <c r="E33" i="11"/>
  <c r="D33" i="11"/>
  <c r="F31" i="11"/>
  <c r="E31" i="11"/>
  <c r="F32" i="11"/>
  <c r="E32" i="11"/>
  <c r="D32" i="11"/>
  <c r="F33" i="11"/>
  <c r="D31" i="11"/>
  <c r="F49" i="3"/>
  <c r="F50" i="3"/>
  <c r="F23" i="3"/>
  <c r="E6" i="9"/>
  <c r="G21" i="3"/>
  <c r="H24" i="3"/>
  <c r="H21" i="3"/>
  <c r="F24" i="3"/>
  <c r="F34" i="3" l="1"/>
  <c r="F35" i="3" s="1"/>
  <c r="F53" i="3"/>
  <c r="D28" i="9" s="1"/>
  <c r="H34" i="3"/>
  <c r="H35" i="3" s="1"/>
  <c r="H53" i="3"/>
  <c r="G34" i="3"/>
  <c r="G35" i="3" s="1"/>
  <c r="G53" i="3"/>
  <c r="I30" i="11"/>
  <c r="F30" i="11"/>
  <c r="E30" i="11"/>
  <c r="H30" i="11"/>
  <c r="D30" i="11"/>
  <c r="F51" i="3"/>
  <c r="D26" i="9" s="1"/>
  <c r="D27" i="9"/>
  <c r="H54" i="3"/>
  <c r="H50" i="3"/>
  <c r="H49" i="3"/>
  <c r="G54" i="3"/>
  <c r="G49" i="3"/>
  <c r="G50" i="3"/>
  <c r="E13" i="9"/>
  <c r="D6" i="9"/>
  <c r="F6" i="9"/>
  <c r="D5" i="9"/>
  <c r="H23" i="3"/>
  <c r="G23" i="3"/>
  <c r="H40" i="3" l="1"/>
  <c r="H42" i="3" s="1"/>
  <c r="G40" i="3"/>
  <c r="G42" i="3" s="1"/>
  <c r="F40" i="3"/>
  <c r="F42" i="3" s="1"/>
  <c r="F43" i="3"/>
  <c r="D40" i="11"/>
  <c r="G40" i="11"/>
  <c r="I40" i="11"/>
  <c r="F40" i="11"/>
  <c r="E40" i="11"/>
  <c r="H40" i="11"/>
  <c r="H44" i="11"/>
  <c r="E44" i="11"/>
  <c r="G44" i="11"/>
  <c r="D44" i="11"/>
  <c r="I44" i="11"/>
  <c r="F44" i="11"/>
  <c r="H48" i="11"/>
  <c r="E48" i="11"/>
  <c r="G48" i="11"/>
  <c r="D48" i="11"/>
  <c r="I48" i="11"/>
  <c r="F48" i="11"/>
  <c r="D13" i="9"/>
  <c r="F13" i="9"/>
  <c r="E28" i="9"/>
  <c r="F28" i="9"/>
  <c r="G43" i="3"/>
  <c r="E27" i="9"/>
  <c r="H51" i="3"/>
  <c r="G51" i="3"/>
  <c r="F27" i="9"/>
  <c r="E5" i="9"/>
  <c r="F5" i="9"/>
  <c r="D12" i="9"/>
  <c r="G41" i="3" l="1"/>
  <c r="F41" i="3"/>
  <c r="E30" i="9"/>
  <c r="E29" i="9"/>
  <c r="D29" i="9"/>
  <c r="D30" i="9"/>
  <c r="G50" i="11"/>
  <c r="D50" i="11"/>
  <c r="I50" i="11"/>
  <c r="F50" i="11"/>
  <c r="H50" i="11"/>
  <c r="E50" i="11"/>
  <c r="G46" i="11"/>
  <c r="D46" i="11"/>
  <c r="I46" i="11"/>
  <c r="F46" i="11"/>
  <c r="H46" i="11"/>
  <c r="E46" i="11"/>
  <c r="E49" i="11"/>
  <c r="G49" i="11"/>
  <c r="D49" i="11"/>
  <c r="I49" i="11"/>
  <c r="F49" i="11"/>
  <c r="H49" i="11"/>
  <c r="E45" i="11"/>
  <c r="G45" i="11"/>
  <c r="D45" i="11"/>
  <c r="I45" i="11"/>
  <c r="F45" i="11"/>
  <c r="H45" i="11"/>
  <c r="F12" i="9"/>
  <c r="E12" i="9"/>
  <c r="F44" i="3"/>
  <c r="F46" i="3" s="1"/>
  <c r="G44" i="3"/>
  <c r="G46" i="3" s="1"/>
  <c r="G47" i="3" s="1"/>
  <c r="F26" i="9"/>
  <c r="E26" i="9"/>
  <c r="F26" i="3" l="1"/>
  <c r="E43" i="11"/>
  <c r="I47" i="11"/>
  <c r="F43" i="11"/>
  <c r="D43" i="11"/>
  <c r="E47" i="11"/>
  <c r="F47" i="11"/>
  <c r="G43" i="11"/>
  <c r="G52" i="11"/>
  <c r="H52" i="11"/>
  <c r="I52" i="11"/>
  <c r="D52" i="11"/>
  <c r="E52" i="11"/>
  <c r="F52" i="11"/>
  <c r="H53" i="11"/>
  <c r="I53" i="11"/>
  <c r="G53" i="11"/>
  <c r="D53" i="11"/>
  <c r="F53" i="11"/>
  <c r="E53" i="11"/>
  <c r="H47" i="11"/>
  <c r="H43" i="11"/>
  <c r="I43" i="11"/>
  <c r="D47" i="11"/>
  <c r="G47" i="11"/>
  <c r="I42" i="11"/>
  <c r="F42" i="11"/>
  <c r="H42" i="11"/>
  <c r="D42" i="11"/>
  <c r="G42" i="11"/>
  <c r="E42" i="11"/>
  <c r="G41" i="11"/>
  <c r="I41" i="11"/>
  <c r="F41" i="11"/>
  <c r="E41" i="11"/>
  <c r="H41" i="11"/>
  <c r="D41" i="11"/>
  <c r="F47" i="3"/>
  <c r="G26" i="3"/>
  <c r="H39" i="11" l="1"/>
  <c r="G39" i="11"/>
  <c r="D39" i="11"/>
  <c r="I39" i="11"/>
  <c r="E39" i="11"/>
  <c r="F39" i="11"/>
  <c r="G27" i="3" l="1"/>
  <c r="G28" i="3"/>
  <c r="E7" i="9"/>
  <c r="G29" i="3" l="1"/>
  <c r="G30" i="3" s="1"/>
  <c r="E9" i="9"/>
  <c r="E8" i="9"/>
  <c r="E14" i="9"/>
  <c r="E10" i="9" l="1"/>
  <c r="G31" i="3"/>
  <c r="G45" i="3" s="1"/>
  <c r="E16" i="9"/>
  <c r="E15" i="9"/>
  <c r="H36" i="11" l="1"/>
  <c r="I36" i="11"/>
  <c r="G36" i="11"/>
  <c r="D36" i="11"/>
  <c r="F36" i="11"/>
  <c r="E36" i="11"/>
  <c r="E24" i="9"/>
  <c r="E17" i="9"/>
  <c r="E20" i="9"/>
  <c r="E19" i="9"/>
  <c r="E21" i="9"/>
  <c r="E23" i="9"/>
  <c r="E22" i="9"/>
  <c r="F27" i="3" l="1"/>
  <c r="F28" i="3"/>
  <c r="D7" i="9"/>
  <c r="D9" i="9" l="1"/>
  <c r="D8" i="9"/>
  <c r="D15" i="9" s="1"/>
  <c r="D14" i="9"/>
  <c r="F29" i="3"/>
  <c r="F31" i="3" s="1"/>
  <c r="F45" i="3" s="1"/>
  <c r="D10" i="9" l="1"/>
  <c r="G35" i="11" s="1"/>
  <c r="D16" i="9"/>
  <c r="D23" i="9"/>
  <c r="D21" i="9"/>
  <c r="F30" i="3"/>
  <c r="D24" i="9"/>
  <c r="E11" i="7"/>
  <c r="E14" i="7" s="1"/>
  <c r="E15" i="7" s="1"/>
  <c r="D22" i="9" l="1"/>
  <c r="D19" i="9"/>
  <c r="D17" i="9"/>
  <c r="F35" i="11"/>
  <c r="D35" i="11"/>
  <c r="D20" i="9"/>
  <c r="I35" i="11"/>
  <c r="E35" i="11"/>
  <c r="H35" i="11"/>
  <c r="H44" i="3" l="1"/>
  <c r="H41" i="3" l="1"/>
  <c r="H46" i="3" s="1"/>
  <c r="H43" i="3"/>
  <c r="H47" i="3" l="1"/>
  <c r="H26" i="3"/>
  <c r="F30" i="9"/>
  <c r="F29" i="9"/>
  <c r="H28" i="3"/>
  <c r="F9" i="9" s="1"/>
  <c r="H27" i="3"/>
  <c r="F8" i="9" s="1"/>
  <c r="F7" i="9"/>
  <c r="H29" i="3" l="1"/>
  <c r="H30" i="3" s="1"/>
  <c r="F54" i="11"/>
  <c r="F51" i="11" s="1"/>
  <c r="F55" i="11" s="1"/>
  <c r="E54" i="11"/>
  <c r="E51" i="11" s="1"/>
  <c r="E55" i="11" s="1"/>
  <c r="G54" i="11"/>
  <c r="G51" i="11" s="1"/>
  <c r="G55" i="11" s="1"/>
  <c r="H54" i="11"/>
  <c r="H51" i="11" s="1"/>
  <c r="H55" i="11" s="1"/>
  <c r="I54" i="11"/>
  <c r="I51" i="11" s="1"/>
  <c r="I55" i="11" s="1"/>
  <c r="D54" i="11"/>
  <c r="D51" i="11" s="1"/>
  <c r="D55" i="11" s="1"/>
  <c r="F10" i="9"/>
  <c r="F23" i="9" s="1"/>
  <c r="F14" i="9"/>
  <c r="F15" i="9"/>
  <c r="F16" i="9"/>
  <c r="H31" i="3" l="1"/>
  <c r="H45" i="3" s="1"/>
  <c r="H37" i="11"/>
  <c r="H34" i="11" s="1"/>
  <c r="D37" i="11"/>
  <c r="D34" i="11" s="1"/>
  <c r="F19" i="9"/>
  <c r="F17" i="9"/>
  <c r="G37" i="11"/>
  <c r="G34" i="11" s="1"/>
  <c r="E37" i="11"/>
  <c r="E34" i="11" s="1"/>
  <c r="F20" i="9"/>
  <c r="I37" i="11"/>
  <c r="I34" i="11" s="1"/>
  <c r="F37" i="11"/>
  <c r="F34" i="11" s="1"/>
  <c r="F24" i="9"/>
  <c r="F22" i="9"/>
  <c r="F21" i="9"/>
</calcChain>
</file>

<file path=xl/sharedStrings.xml><?xml version="1.0" encoding="utf-8"?>
<sst xmlns="http://schemas.openxmlformats.org/spreadsheetml/2006/main" count="424" uniqueCount="268">
  <si>
    <t>W/qubit</t>
  </si>
  <si>
    <t>MWh</t>
  </si>
  <si>
    <t>qubit</t>
  </si>
  <si>
    <t>kWh</t>
  </si>
  <si>
    <t>#</t>
  </si>
  <si>
    <t>K</t>
  </si>
  <si>
    <t>kW</t>
  </si>
  <si>
    <t>gal/min</t>
  </si>
  <si>
    <t>Practical FTQC</t>
  </si>
  <si>
    <t>FTQC (Small)</t>
  </si>
  <si>
    <t>FTQC (Large)</t>
  </si>
  <si>
    <t>IBM's System Two (2033+)</t>
  </si>
  <si>
    <t># of logical qubits</t>
  </si>
  <si>
    <t>around 10^-7</t>
  </si>
  <si>
    <t>around 10^-12</t>
  </si>
  <si>
    <t>around 10^-15</t>
  </si>
  <si>
    <t># of physical qubits (base level)</t>
  </si>
  <si>
    <t># of physical qubits per cryo-chamber</t>
  </si>
  <si>
    <t># of 20-mK dilution refrigerators per cryo-chamber</t>
  </si>
  <si>
    <t># of physical qubits per 20-mK dilution refrigerator</t>
  </si>
  <si>
    <t># of cryo-chambers</t>
  </si>
  <si>
    <t># of dilution refrigerators</t>
  </si>
  <si>
    <t>Parameter</t>
  </si>
  <si>
    <t>Unit</t>
  </si>
  <si>
    <t>Notes</t>
  </si>
  <si>
    <t>Constants</t>
  </si>
  <si>
    <t>-</t>
  </si>
  <si>
    <t>Logical Qubits</t>
  </si>
  <si>
    <t>Qubit</t>
  </si>
  <si>
    <t>Time</t>
  </si>
  <si>
    <t>hours</t>
  </si>
  <si>
    <t>Logical qubit error rate</t>
  </si>
  <si>
    <t>Volume of cryo-chamber</t>
  </si>
  <si>
    <t>PQ / Cryochamber</t>
  </si>
  <si>
    <t>Physical Qubits</t>
  </si>
  <si>
    <t>CALCULATED PARAMETERS</t>
  </si>
  <si>
    <t># Cryochambers</t>
  </si>
  <si>
    <t># DR</t>
  </si>
  <si>
    <t>DR</t>
  </si>
  <si>
    <t>Electricity Consumption</t>
  </si>
  <si>
    <t>Cryogenics</t>
  </si>
  <si>
    <t>W/PQ</t>
  </si>
  <si>
    <t>Cryochamber (W/PQ)</t>
  </si>
  <si>
    <t>Cooling Water Circulation</t>
  </si>
  <si>
    <t>Baseload</t>
  </si>
  <si>
    <t>Miscellaneous</t>
  </si>
  <si>
    <t>Total</t>
  </si>
  <si>
    <t>Annual Electricity Consumption</t>
  </si>
  <si>
    <t>W/Qubit</t>
  </si>
  <si>
    <t>Chiller Calcs</t>
  </si>
  <si>
    <t>Incoming Temperature</t>
  </si>
  <si>
    <t>deg F</t>
  </si>
  <si>
    <t xml:space="preserve">Outgoing Temperature </t>
  </si>
  <si>
    <t>Sizing Factor</t>
  </si>
  <si>
    <t>ton</t>
  </si>
  <si>
    <t>Chiller Energy Consumption</t>
  </si>
  <si>
    <t>kW/ton</t>
  </si>
  <si>
    <t>Annual Water Consumption</t>
  </si>
  <si>
    <t>Mgal</t>
  </si>
  <si>
    <t>Electricity for water supply</t>
  </si>
  <si>
    <t>kWh/Mgal</t>
  </si>
  <si>
    <t>Water Use Effectivenes for Quantum Centers</t>
  </si>
  <si>
    <t>l/kWh</t>
  </si>
  <si>
    <t>Expansion ratio converting 1 liter of cryo-liquid to 1 liter of gas at STP (0 deg C and 1 atm)</t>
  </si>
  <si>
    <t>Nitrogen</t>
  </si>
  <si>
    <t>https://www.uigi.com/calculators/nitrogen-quantity-conversions-calculator/</t>
  </si>
  <si>
    <t>Helium-4</t>
  </si>
  <si>
    <t>https://brainly.com/question/32202339</t>
  </si>
  <si>
    <t>Cooling of the 80K shield</t>
  </si>
  <si>
    <t>million liters per year
(gas at 0 °C and 1 atm)</t>
  </si>
  <si>
    <t>Cryogenic plant (liquefier)</t>
  </si>
  <si>
    <t>Mix 1</t>
  </si>
  <si>
    <t>Mix 2</t>
  </si>
  <si>
    <t>Mix 3</t>
  </si>
  <si>
    <t>Per Unit</t>
  </si>
  <si>
    <t>% Contribution</t>
  </si>
  <si>
    <t>GW</t>
  </si>
  <si>
    <t>Resource Consumption</t>
  </si>
  <si>
    <t>3He</t>
  </si>
  <si>
    <t>4He</t>
  </si>
  <si>
    <t>Water</t>
  </si>
  <si>
    <t>million liters per year</t>
  </si>
  <si>
    <t>Other Resources</t>
  </si>
  <si>
    <t>MGD</t>
  </si>
  <si>
    <t>Water Requirement</t>
  </si>
  <si>
    <t># Hyper-scalar data centers/yr</t>
  </si>
  <si>
    <t>IBM's System Two (2027+)</t>
  </si>
  <si>
    <t>Sheet 2</t>
  </si>
  <si>
    <t>Acknowledgements</t>
  </si>
  <si>
    <t>Citation</t>
  </si>
  <si>
    <t>Authors</t>
  </si>
  <si>
    <t>Table of Contents</t>
  </si>
  <si>
    <t>Quantum_System_Configuration</t>
  </si>
  <si>
    <t>Sheet 3</t>
  </si>
  <si>
    <t>Sheet 4</t>
  </si>
  <si>
    <t>Future_Quantum_Scaling</t>
  </si>
  <si>
    <t>Sheet #</t>
  </si>
  <si>
    <t>Sheet Name</t>
  </si>
  <si>
    <t>Sheet Description</t>
  </si>
  <si>
    <t>Quantum System Configuration →</t>
  </si>
  <si>
    <t>Table Name</t>
  </si>
  <si>
    <t>Legend for Numerical values in Columns C, D, and E</t>
  </si>
  <si>
    <t>Assumption (reference and inference provided in Column F)</t>
  </si>
  <si>
    <t>Calculated Value</t>
  </si>
  <si>
    <t>Describes the system paramters for the  three modeled quantum system configurations</t>
  </si>
  <si>
    <t>Sheet 5</t>
  </si>
  <si>
    <t>References</t>
  </si>
  <si>
    <t>List of references noted in this spreadsheet</t>
  </si>
  <si>
    <t>Small FTQC</t>
  </si>
  <si>
    <t>Large FTQC</t>
  </si>
  <si>
    <t>Key Abbreviations</t>
  </si>
  <si>
    <t>milliKelvin</t>
  </si>
  <si>
    <t>kilowatts</t>
  </si>
  <si>
    <t>megawatts</t>
  </si>
  <si>
    <t>FTQC</t>
  </si>
  <si>
    <t>mK</t>
  </si>
  <si>
    <t>MW</t>
  </si>
  <si>
    <t>Energy consumption of cryo-chamber (kW)</t>
  </si>
  <si>
    <t>Volume of cryo-chamber (m^3)</t>
  </si>
  <si>
    <t>Total physical qubits needed</t>
  </si>
  <si>
    <t>Additional # of physical qubits needed for error-correction</t>
  </si>
  <si>
    <t>Ratio of physical to logical qubits</t>
  </si>
  <si>
    <t>Kelvin</t>
  </si>
  <si>
    <t>RSA</t>
  </si>
  <si>
    <t>Rivest-Shamir-Adleman cryptosystem</t>
  </si>
  <si>
    <t>Sheet 6</t>
  </si>
  <si>
    <t>Disclaimer: This sheet is password protected to prevent any accidental changes to calculations. To unprotect/unlock the sheet, use the following password: QUEENS@ORNL.</t>
  </si>
  <si>
    <t>Unit for Constants</t>
  </si>
  <si>
    <t>days</t>
  </si>
  <si>
    <t>liters/DR</t>
  </si>
  <si>
    <t>m^3</t>
  </si>
  <si>
    <t>Control electronics</t>
  </si>
  <si>
    <t>Cooling water circulation</t>
  </si>
  <si>
    <t>Total Power Consumption</t>
  </si>
  <si>
    <t>COOLING WATER CIRCULATION</t>
  </si>
  <si>
    <t>Total Cooling Water Circulation Power</t>
  </si>
  <si>
    <t>Annual electricity for water supply</t>
  </si>
  <si>
    <t># Advanced data centers</t>
  </si>
  <si>
    <t xml:space="preserve">Inputs and Assumptions </t>
  </si>
  <si>
    <t>Table S5: List of references</t>
  </si>
  <si>
    <t>Table S3: Summary of energy and resource usage for quantum systems</t>
  </si>
  <si>
    <t>QuACI</t>
  </si>
  <si>
    <t>NS: Not protected as of now. Do before submission/finalization.</t>
  </si>
  <si>
    <t>Base year</t>
  </si>
  <si>
    <t>Future year</t>
  </si>
  <si>
    <t>Assumed based on S&amp;P Global Data's 68 new data centers in 2024 and 74 (54% of 137 new data centers in the USA as of March 2025, Synergy Research Group as of March 2025; https://www.srgresearch.com/articles/hyperscale-data-center-count-hits-1136-average-size-increases-us-accounts-for-54-of-total-capacity)</t>
  </si>
  <si>
    <t>Values</t>
  </si>
  <si>
    <t>2045 Scenario 1: Low penetration of QuACI</t>
  </si>
  <si>
    <t>2045 Scenario 2: High penetration of QuACI</t>
  </si>
  <si>
    <t>FTQC mix in 2045 QuACI</t>
  </si>
  <si>
    <t>Legend for Numerical values in Table S4</t>
  </si>
  <si>
    <t>Assumption (reference and inference provided in cells labeled as "Notes")</t>
  </si>
  <si>
    <t>Possible digital infrastructure in 2040s</t>
  </si>
  <si>
    <t># QuACI in 2045 Scenario 1</t>
  </si>
  <si>
    <t># QuACI in 2045 Scenario 2</t>
  </si>
  <si>
    <t># Redundant facilities</t>
  </si>
  <si>
    <t>Scenario 1 FTQC mix in 2045 QuACI</t>
  </si>
  <si>
    <t>million gallons per day</t>
  </si>
  <si>
    <t>Electric Power Consumption</t>
  </si>
  <si>
    <t>Graphs</t>
  </si>
  <si>
    <t>Electric Power</t>
  </si>
  <si>
    <t>Low Penetration</t>
  </si>
  <si>
    <t>High Penetration</t>
  </si>
  <si>
    <t>Liquid Nitrogen</t>
  </si>
  <si>
    <t>Liquid Helium-4</t>
  </si>
  <si>
    <t>Isotope Helium-3</t>
  </si>
  <si>
    <t>Advanced data centers include "Datacenter type" labeled as "Cloud", "Crypto Mining", "Hyperscale" from the S&amp;P Global Data that were built solely in 2024.</t>
  </si>
  <si>
    <t>liters (gas at 0 °C and 1 atm)</t>
  </si>
  <si>
    <t>million liters per day</t>
  </si>
  <si>
    <t xml:space="preserve"> </t>
  </si>
  <si>
    <t>Reference</t>
  </si>
  <si>
    <t>Table S2: Energy and resource calculations for quantum systems</t>
  </si>
  <si>
    <t>Table S4: Inputs and assumptions for future scaling of QuACI</t>
  </si>
  <si>
    <t>Table S4: Inputs and assumptions for future scaling of QuACI
Table S5: Energy and resource impacts of future scaling of QuACI</t>
  </si>
  <si>
    <t>Table S5: Energy and resource impacts of future scaling of QuACI</t>
  </si>
  <si>
    <t>Additional Constants</t>
  </si>
  <si>
    <t>Value</t>
  </si>
  <si>
    <t>Assumed 10% of the total power consumption.</t>
  </si>
  <si>
    <t>Physical Qubits per Logical Qubit</t>
  </si>
  <si>
    <t>AI Data Centers</t>
  </si>
  <si>
    <t>Quantum Accelerated Computing Infrastructure</t>
  </si>
  <si>
    <t>Energy_Resource_Calculations</t>
  </si>
  <si>
    <t>Energy_Resource_Quant_Summary</t>
  </si>
  <si>
    <t>Table S1: Modeled quantum system configurations</t>
  </si>
  <si>
    <t>Presents detailed calculations for modeled quantum system configurations in Sheet 2</t>
  </si>
  <si>
    <t>Summarizes the energy and resource consumption of modeled quantum systems in Sheet 3</t>
  </si>
  <si>
    <t>Presents calculations on energy and resource impacts of integration of quantum systems with advanced classical computing and digital infrastructure</t>
  </si>
  <si>
    <t>FTQC needs at least 100 logical qubits, and more likely at least 1,000.  Solving complex chemical simulations requires 4,000 or more.  IBM's Blue Jay system planned for the 2033+ timeframe claims 2,000 logical qubits, 1 billion gates, advanced error-correction and full fault-tolerance.</t>
  </si>
  <si>
    <t>Values for physical-to-logical qubit ratio of between 500 and 2,000 are reasonable to assume for future FTQC systems at varying levels of error rate, and therefore functionality. Based on Ezratty (2024), Fig. 253, p. 291, and on the best-practices being designed and explored by Google, IBM, and others.</t>
  </si>
  <si>
    <t>Notes &amp; Documentation</t>
  </si>
  <si>
    <t>See Ezratty (2024), Fig. 253, p. 291.  According to text on p. 295, an error rate of 10^-15 is needed for RSA-2048 key encryption, and lower for solving complex chemical simulations. These values do not feed into any calculations - for reference purpose only.</t>
  </si>
  <si>
    <t>Upon discussion with quantum computing experts, the number of physical qubits needed for error-correction is assumed to be equal to the previously calculated number of physical qubits (i.e., 2x the base level of physical qubits). This assumes surface-code style algorithms for error correction, which could potentially improve markedly in the future -- an intense area of research at present.</t>
  </si>
  <si>
    <t>See note in cell above for the discussion on IBM's System Two (Practical &amp; Small FTQC). See Hollister et al. (2024) for the information on Colossus (Large FTQC); there are 12 dilution refrigerators, but 2 of them operate at higher temperatures (hence, 12-2 = 10 DRs).</t>
  </si>
  <si>
    <t>See Ezratty (2024), p. 338.  Each of IBM's System Two clusters (Practical and Small FTQC) has 3 dilution refrigerators, and the cluster consumes 105 kW. Estimate for Small FTQC takes its 40,000 kW of electricity consumption for a cooling power of 75 kW @ 4.5 K (based on the ITER nuclear fusion facility) and then proportionally (linearly) downscales it to the size of Colossus (0.2 kW @ 5 K). Estimates for Large FTQC power consumption are derived for a system that uses a cryogenics plant (as with Colossus) instead of pulse-tube cryo-coolers.</t>
  </si>
  <si>
    <t>See above notes.</t>
  </si>
  <si>
    <t>INPUTS (Control Variables / Base Assumptions)</t>
  </si>
  <si>
    <t>Computing</t>
  </si>
  <si>
    <t>Control Electronics</t>
  </si>
  <si>
    <t>Energy consumption of cryo-chamber</t>
  </si>
  <si>
    <t># of 20- K dilution refrigerators per cryo-chamber</t>
  </si>
  <si>
    <t>PQ</t>
  </si>
  <si>
    <t>physical qubit</t>
  </si>
  <si>
    <t>fault tolerant quantum computer</t>
  </si>
  <si>
    <t>dilution refrigerator</t>
  </si>
  <si>
    <t>Potocnik et al. (2025) cites Yoo et al. (2023) value of 5 W/qubit. This is consistent with control electronics operating at room temperatures.
According to Geck et al. (2025) on p. 2: “The power consumption per qubit for the spin qubit controllers is estimated to be in the range of 1.7 - 5.2mW/qubit with a frequency spacing between 31.3-125 MHz. All electronics are placed at 3-4 K.”
Yoo et al. (2023)  – also say that &lt; 4 mW/qubit is possible when the control electronics are located in the cryogenic chamber and at temperatures of 3 K.  Their higher value of 5 W/qubit is for control electronics located in room temperature environment.
Thus, assume a higher value of 5 W/qubit for less optimistic cases (this is consistent with situating control electronics outside cryo-chamber and thus operating at room temperature).  Then, assume lower value of 0.0052 W/qubit for more optimistic cases (this is consistent with situating control electronics inside cryo-chamber and thus operating at temperatures of 3-4 K).</t>
  </si>
  <si>
    <t>Physical Qubits (total, including error correction)</t>
  </si>
  <si>
    <t>ELECTRIC POWER CONSUMPTION</t>
  </si>
  <si>
    <t>Power consumption per Physical Qubit</t>
  </si>
  <si>
    <t xml:space="preserve">Based on private conversations with experts who have previously conducted an analysis of cooling water needs for a potential quantum facility in the U.S. </t>
  </si>
  <si>
    <t>For reference, comparing with current data centers range of 0.7 - 1.5 liters/kWh (Lei et al. 2025).</t>
  </si>
  <si>
    <t>Helium-4 and Helium-3</t>
  </si>
  <si>
    <t>Baseload IT</t>
  </si>
  <si>
    <t>%</t>
  </si>
  <si>
    <t>3He (stock/inventory)</t>
  </si>
  <si>
    <t>4He (stock/inventory)</t>
  </si>
  <si>
    <t>liters
(gas at 0 °C and 1 atm)</t>
  </si>
  <si>
    <t>liters (gas at 0 °C and 1 atm)
(stock/inventory)</t>
  </si>
  <si>
    <t>Most recent statistics on U.S. data centers are available in this year.</t>
  </si>
  <si>
    <t>Representative future year in the 2040s</t>
  </si>
  <si>
    <t>Assuming 10% of advanced digital infrastructure built between 2026 and 2045 will have some variant of FTQC modeled in Sheet 2.</t>
  </si>
  <si>
    <t>Assuming 100% of advanced digital infrastructure built between 2026 and 2045 will have some variant of FTQC modeled in Sheet 2.</t>
  </si>
  <si>
    <r>
      <rPr>
        <b/>
        <sz val="10"/>
        <color theme="1"/>
        <rFont val="Aptos Narrow"/>
        <scheme val="minor"/>
      </rPr>
      <t>Mixes</t>
    </r>
    <r>
      <rPr>
        <sz val="10"/>
        <color theme="1"/>
        <rFont val="Aptos Narrow"/>
        <scheme val="minor"/>
      </rPr>
      <t xml:space="preserve"> define the combined deployment of Practical, Small FTQC, and Large FTQC for a future scenario.</t>
    </r>
  </si>
  <si>
    <t>Typically, systems are designed to have redundant (or backup) equipment to assist with production downtime (intentional and/or unexpected). We assume the availability of at least one additional QuACI system (2N redundancy) for risk tolerance. As with other existing computing infrastructure, a future well integrated QuACI will have the capability to transfer computing tasks to network-connected QuACIs (if low latency) to help with efficient operations.</t>
  </si>
  <si>
    <t>Scenario 2 FTQC mix in 2045 QuACI</t>
  </si>
  <si>
    <t>For Practical FTQC, assume that it becomes too challenging to move beyond 1,080 physical qubits per dilution refrigerator (= 9 x 120 qubits per Nighthawk chip). This is similar to Fujitsu's target for the late-2020s (= 1,024 qubits per dilution refrigerator). Each of IBM's System Two clusters (Small FTQC) has 3 DRs; the plan in 2033+ is that each of these clusters will support 25,000 physical qubits = 8,333 physical qubits per dilution fridge. For the Large FTQC, use the value of 120,000 physical qubits per DR from Mohseni et al. (2025); see the caption to Figure 27 of the paper. See Ezratty (2024), p. 415, and IBM's "2025 Development &amp; Innovation Roadmap", for the the IBM numbers. See Fujitsu's "Fujitsu Quantum Computing Strategy (April 2025)" for their expectations.</t>
  </si>
  <si>
    <t xml:space="preserve">Typically, chillers are oversized by 20% for safety margin. </t>
  </si>
  <si>
    <t>Example Base Designs  →
System Parameters ↓</t>
  </si>
  <si>
    <t>Quantum Accelerated Computing Infrastructure (QuACI)</t>
  </si>
  <si>
    <t>CoreSite. 2025. “What Is Data Center Redundancy? N, N+1, 2N, 2N+1.” https://www.coresite.com/blog/data-center-redundancy-n-1-vs-2n-1.</t>
  </si>
  <si>
    <r>
      <t xml:space="preserve">DOE. 2015. </t>
    </r>
    <r>
      <rPr>
        <i/>
        <sz val="12"/>
        <color theme="1"/>
        <rFont val="Aptos"/>
        <family val="2"/>
      </rPr>
      <t>An Assessment of Energy Technologies and Research Opportunities</t>
    </r>
    <r>
      <rPr>
        <sz val="12"/>
        <color theme="1"/>
        <rFont val="Aptos"/>
        <family val="2"/>
      </rPr>
      <t>. Quadrennial Technology Review. United States Department of Energy. https://www.energy.gov/sites/prod/files/2017/03/f34/qtr-2015-chapter5.pdf#page=2.27.</t>
    </r>
  </si>
  <si>
    <r>
      <t xml:space="preserve">Ezratty, Olivier. 2024. </t>
    </r>
    <r>
      <rPr>
        <i/>
        <sz val="12"/>
        <color theme="1"/>
        <rFont val="Aptos"/>
        <family val="2"/>
      </rPr>
      <t>Understanding Quantum Technologies 2024</t>
    </r>
    <r>
      <rPr>
        <sz val="12"/>
        <color theme="1"/>
        <rFont val="Aptos"/>
        <family val="2"/>
      </rPr>
      <t>. https://www.oezratty.net/wordpress/2024/understanding-quantum-technologies-2024/.</t>
    </r>
  </si>
  <si>
    <r>
      <t xml:space="preserve">Hollister, Matthew I, Ram C Dhuley, Christopher James, and Grzegorz L Tatkowski. 2024. “An Update on the Colossus mK Platform at Fermilab.” </t>
    </r>
    <r>
      <rPr>
        <i/>
        <sz val="12"/>
        <color theme="1"/>
        <rFont val="Aptos"/>
        <family val="2"/>
      </rPr>
      <t>IOP Conference Series: Materials Science and Engineering</t>
    </r>
    <r>
      <rPr>
        <sz val="12"/>
        <color theme="1"/>
        <rFont val="Aptos"/>
        <family val="2"/>
      </rPr>
      <t xml:space="preserve"> 1302 (1): 012030. https://doi.org/10.1088/1757-899X/1302/1/012030.</t>
    </r>
  </si>
  <si>
    <t>IBM. 2025. “IBM Quantum Roadmap.” https://www.ibm.com/roadmaps/quantum/2030/www.ibm.com/roadmaps/quantum/2030.</t>
  </si>
  <si>
    <t>James, C., M. Hollister, G. Tatkowski, and R. Dhuley. 2023. “Helium-3 Piping and Gas Handling Implementation for the Colossus Milli-Kelvin Platform at Fermilab.” Fermilab. https://lss.fnal.gov/archive/2023/poster/fermilab-poster-23-007-sqms.pdf.</t>
  </si>
  <si>
    <r>
      <t xml:space="preserve">Lei, Nuoa, Jun Lu, Arman Shehabi, and Eric Masanet. 2025. “The Water Use of Data Center Workloads: A Review and Assessment of Key Determinants.” </t>
    </r>
    <r>
      <rPr>
        <i/>
        <sz val="12"/>
        <color theme="1"/>
        <rFont val="Aptos"/>
        <family val="2"/>
      </rPr>
      <t>Resources, Conservation and Recycling</t>
    </r>
    <r>
      <rPr>
        <sz val="12"/>
        <color theme="1"/>
        <rFont val="Aptos"/>
        <family val="2"/>
      </rPr>
      <t xml:space="preserve"> 219 (June): 108310. https://doi.org/10.1016/j.resconrec.2025.108310.</t>
    </r>
  </si>
  <si>
    <t>Mohseni, Masoud, Artur Scherer, K. Grace Johnson, et al. 2025. “How to Build a Quantum Supercomputer: Scaling from Hundreds to Millions of Qubits.” arXiv:2411.10406. Preprint, arXiv, January 31. https://doi.org/10.48550/arXiv.2411.10406.</t>
  </si>
  <si>
    <r>
      <t xml:space="preserve">Potočnik, Anton. 2025. “How to Scale the Electronic Control Systems of a Quantum Computer.” </t>
    </r>
    <r>
      <rPr>
        <i/>
        <sz val="12"/>
        <color theme="1"/>
        <rFont val="Aptos"/>
        <family val="2"/>
      </rPr>
      <t>Nature Electronics</t>
    </r>
    <r>
      <rPr>
        <sz val="12"/>
        <color theme="1"/>
        <rFont val="Aptos"/>
        <family val="2"/>
      </rPr>
      <t xml:space="preserve"> 8 (1): 3–4. https://doi.org/10.1038/s41928-024-01331-9.</t>
    </r>
  </si>
  <si>
    <t>S&amp;P Global Market Intelligence. 2025. “Datacenter KnowledgeBase: Q4 2024 Update.”</t>
  </si>
  <si>
    <r>
      <t xml:space="preserve">Yoo, Juhwan, Zijun Chen, Frank Arute, et al. 2023. “34.2 A 28-Nm Bulk-CMOS IC for Full Control of a Superconducting Quantum Processor Unit-Cell.” </t>
    </r>
    <r>
      <rPr>
        <i/>
        <sz val="12"/>
        <color theme="1"/>
        <rFont val="Aptos"/>
        <family val="2"/>
      </rPr>
      <t>2023 IEEE International Solid-State Circuits Conference (ISSCC)</t>
    </r>
    <r>
      <rPr>
        <sz val="12"/>
        <color theme="1"/>
        <rFont val="Aptos"/>
        <family val="2"/>
      </rPr>
      <t>, February, 506–8. https://doi.org/10.1109/ISSCC42615.2023.10067292.</t>
    </r>
  </si>
  <si>
    <t>The current Bluefors LD400 design uses 18 liters per DR.</t>
  </si>
  <si>
    <t>liters
(liquid at -269 °C)</t>
  </si>
  <si>
    <t>Liquid nitrogen is used for the cooling of the 80K shield. The typical budget is the range of 10-15 liters/hr for a Colossus style system (~12 DRs).</t>
  </si>
  <si>
    <t>liters (liquid at -269 °C)
(stock/inventory)</t>
  </si>
  <si>
    <t>liters (liquid at -269 °C)</t>
  </si>
  <si>
    <t>System Design References from Vendor
(Current as of 09/15/2025)</t>
  </si>
  <si>
    <t xml:space="preserve">Bluefors LD400 Dilution Refrigerator. https://bluefors.com/products/dilution-refrigerator-measurement-systems/ld-dilution-refrigerator-measurement-system/. </t>
  </si>
  <si>
    <t>PT415 Pulse Tube Cryocooler. https://bluefors.com/products/pulse-tube-cryocoolers/pt415-pulse-tube-cryocooler/</t>
  </si>
  <si>
    <t>Linde L161 helium liquefier/refrigerator. https://assets.linde.com/-/media/global/kryotechnik/kryotechnik/products/datasheet-l1610-lr1630-helium-liquefier-refrigerator.pdf</t>
  </si>
  <si>
    <t>"million gallons per day (MGD)" is common unit for potable water supply design estimates.</t>
  </si>
  <si>
    <t>Ehrhard, R., &amp; Murphy, J. (2009). Driving energy efficiency in the US Water &amp; Wastewater industry by focusing on operating and maintenance cost reductions. Energy, 25, 40.</t>
  </si>
  <si>
    <t>Micellaneous power consumption is from lighting, heating, ventilation, and cooling requirements of the buildings themselves (not the computing equipment).  Assumed 10% of the total power consumption.
DOE (2015). An assessment of energy technologies and research opportunities. Quadrennial Technology Review. United States Department of Energy, 12-19.
(https://www.energy.gov/sites/prod/files/2017/03/f34/qtr-2015-chapter5.pdf#page=3.18)
Lighting: https://www.eia.gov/tools/faqs/faq.php?id=99&amp;t=3</t>
  </si>
  <si>
    <t>Helium Liquefier (achieving ~4K)</t>
  </si>
  <si>
    <t>Pulsetube cryocooler (achieving 2K)</t>
  </si>
  <si>
    <t>Calculated Chiller capacity</t>
  </si>
  <si>
    <t>Based on private conversations with experts who have previously conducted an analysis of cooling water needs for a potential quantum facility in the U.S. Also, agrees with the note in Row 33 for the helium liquefier.</t>
  </si>
  <si>
    <r>
      <rPr>
        <b/>
        <sz val="12"/>
        <color theme="1"/>
        <rFont val="Aptos"/>
      </rPr>
      <t>General Note</t>
    </r>
    <r>
      <rPr>
        <sz val="12"/>
        <color theme="1"/>
        <rFont val="Aptos"/>
        <family val="2"/>
      </rPr>
      <t>: All webpage links noted in the entire excel workobook are active links as of 09/15/2025.</t>
    </r>
  </si>
  <si>
    <t>Achieving efficient helium liquefaction is preferable with liquid nitrogen pre-cooling . Based on discussion with cryogen expert, typical L1610 helium liquefier operates at ~50 liter/hour for 12 DRs (Colossus sized system) at STP conditions.</t>
  </si>
  <si>
    <t>Schematic for resource consumption flow paths for a FTQC</t>
  </si>
  <si>
    <t>Assuming Linde L1610 Liquefier with RSS Compressor, that is water cooled, 15 gpm at 75 deg F max and 45 psig supply pressure (57 lpm at 24 deg C and 310 kPa). 
Reference: https://assets.linde.com/-/media/global/kryotechnik/kryotechnik/products/datasheet-l1610-lr1630-helium-liquefier-refrigerator.pdf</t>
  </si>
  <si>
    <t>From IBM's reporting, each System Two (Practical and Small FTQC) "cluster" (including 3 dilution refrigerators inside) has a working volume of 1.7 m^3.  Fermilab's Colossus (Large FTQC) has a volume of 5.0 m^3 (with 12 dilution refrigerators inside; 10 of them at 20 mK).
For cryo-coolers, reference design is based on the Bluefors/Cryomech PT415 unit with a CPA1110 compressor.
(https://bluefors.com/products/pulse-tube-cryocoolers/pt415-pulse-tube-cryocooler. Current as of 09/15/2025).
For nitrogen and helium liquefaction, reference design is based on the Linde L1610 unit with a 2RS compressor. Based on discussion with cryogenics experts, a L1610 helium liquefier will be able to support the Colossus sized quantum system, i.e., 12 LD400 DRs.
(https://assets.linde.com/-/media/global/kryotechnik/kryotechnik/products/datasheet-l1610-lr1630-helium-liquefier-refrigerator.pdf. Current as of 09/15/2025).
For dilution refrigerators, reference design is based on the Bluefors LD400 unit.
(https://bluefors.com/products/dilution-refrigerator-measurement-systems/ld-dilution-refrigerator-measurement-system/. Current as 09/15/2025).
Electricity consumption includes pumping, compression, liquefaction, and slow control systems used for monitoring.
In all cases, the lowest temperature achieved within the dilution refrigerators is 10-20 milliKelvin. This is the qubit working temperature.</t>
  </si>
  <si>
    <r>
      <t>Assuming Bluefors/Cryomech PT415 Pulse Tube Cryocooler @</t>
    </r>
    <r>
      <rPr>
        <sz val="11"/>
        <color theme="1"/>
        <rFont val="Aptos Narrow"/>
        <family val="2"/>
        <scheme val="minor"/>
      </rPr>
      <t xml:space="preserve"> 3 gal/min. 
Reference: https://bluefors.com/products/pulse-tube-cryocoolers/pt415-pulse-tube-cryocooler/</t>
    </r>
  </si>
  <si>
    <t>Chiller tonnage (nameplate) is in 500 ton increments. 
Reference: Table 3 from USEPA (2017). https://www.epa.gov/sites/default/files/2017-12/documents/ws-commercialbuildings-waterscore-mechanical-systems-guide.pdf. 
Chiller sizing calculations based on: https://waterchillers.com/chiller-resources/sizing-information/.</t>
  </si>
  <si>
    <t>Assuming best available tonnage for water-cooled chillers at 0.47 kW/ton.
Reference: https://www.deq.nc.gov/environmental-assistance-and-customer-service/ias-energy-efficiency/opportunities/chillers/download</t>
  </si>
  <si>
    <t>Consumptive water is at the cooling tower that supplies water to the chillers. Approximately 1.8 gallons of water are evaporated (consumed/lost) at cooling towers for every ton-hour of cooling provided by the chillers, regardless of tower efficiency. Industrial chillers operate typically at 50% load. 
Reference: USEPA (2017). Water Efficiency Management Guide. Mechanical Systems. https://www.epa.gov/sites/default/files/2017-12/documents/ws-commercialbuildings-waterscore-mechanical-systems-guide.pdf. Accessed on 09/15/2025.</t>
  </si>
  <si>
    <t>Electricity used for distribution and pumping from a water source to a QuACI facility. Reference for electricity use for finished water pumping to end users ~ 67% of total energy as noted in (Ehrhard, R., &amp; Murphy, J. (2009). Driving energy efficiency in the US Water &amp; Wastewater industry by focusing on operating and maintenance cost reductions. Energy, 25, 40.)
USEPA notes 700-1200 kWh/Mgal for distribution (https://www.epa.gov/sites/default/files/2015-08/documents/wastewater-guide.pdf. Current as of 09/15/2025).</t>
  </si>
  <si>
    <t>IBM System Two (2033+) scaled to Fermilab's Colossus**, then with improved error correction and higher qubit density</t>
  </si>
  <si>
    <r>
      <t>** Colossus refers to Fermilab's experimental cryoplant + cryo-chamber system (</t>
    </r>
    <r>
      <rPr>
        <b/>
        <u/>
        <sz val="11"/>
        <color theme="1"/>
        <rFont val="Aptos Narrow"/>
        <family val="2"/>
        <scheme val="minor"/>
      </rPr>
      <t>not</t>
    </r>
    <r>
      <rPr>
        <b/>
        <sz val="11"/>
        <color theme="1"/>
        <rFont val="Aptos Narrow"/>
        <family val="2"/>
        <scheme val="minor"/>
      </rPr>
      <t xml:space="preserve"> xAI's supercomputer in Memphis, Tennessee, USA).</t>
    </r>
  </si>
  <si>
    <t>Helium-4 is contained in storage dewars and circulated in closed loop in the L1610 helium liquefier to reach necessary 4-5K refrigerator temperatures. Based on collaborations with cryogenics experts, a 1000 L helium-4 storage dewar can support the operation of L1610. Additonally, a L1610 helium liquefier will be able to support the Colossus sized quantum system, i.e., 12 LD400 DRs. The helium-4 storage dewar has a typical pressure maintained is between 3 psig tp 30 psig.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</si>
</sst>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_(* #,##0.0_);_(* \(#,##0.0\);_(* &quot;-&quot;??_);_(@_)"/>
    <numFmt numFmtId="166" formatCode="_(* #,##0_);_(* \(#,##0\);_(* &quot;-&quot;??_);_(@_)"/>
    <numFmt numFmtId="167" formatCode="0.0%"/>
    <numFmt numFmtId="168" formatCode="_(* #,##0.0000_);_(* \(#,##0.0000\);_(* &quot;-&quot;??_);_(@_)"/>
  </numFmts>
  <fonts count="56">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sz val="11"/>
      <color rgb="FFFF0000"/>
      <name val="Aptos Narrow"/>
      <family val="2"/>
      <scheme val="minor"/>
    </font>
    <font>
      <sz val="11"/>
      <color theme="1"/>
      <name val="Aptos Narrow"/>
      <family val="2"/>
      <scheme val="minor"/>
    </font>
    <font>
      <b/>
      <sz val="11"/>
      <color theme="3"/>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11"/>
      <name val="Aptos Narrow"/>
      <family val="2"/>
      <scheme val="minor"/>
    </font>
    <font>
      <b/>
      <sz val="11"/>
      <name val="Aptos Narrow"/>
      <family val="2"/>
      <scheme val="minor"/>
    </font>
    <font>
      <b/>
      <sz val="11"/>
      <color theme="1"/>
      <name val="Aptos Narrow"/>
      <family val="2"/>
      <scheme val="minor"/>
    </font>
    <font>
      <sz val="10"/>
      <name val="Aptos Narrow"/>
      <family val="2"/>
      <scheme val="minor"/>
    </font>
    <font>
      <sz val="10"/>
      <color theme="1"/>
      <name val="Aptos Narrow"/>
      <family val="2"/>
      <scheme val="minor"/>
    </font>
    <font>
      <sz val="11"/>
      <color theme="9"/>
      <name val="Aptos Narrow"/>
      <family val="2"/>
      <scheme val="minor"/>
    </font>
    <font>
      <sz val="11"/>
      <color theme="2" tint="-0.499984740745262"/>
      <name val="Aptos Narrow"/>
      <family val="2"/>
      <scheme val="minor"/>
    </font>
    <font>
      <sz val="11"/>
      <color theme="9"/>
      <name val="Aptos Narrow"/>
      <family val="2"/>
      <scheme val="minor"/>
    </font>
    <font>
      <b/>
      <sz val="11"/>
      <color theme="0"/>
      <name val="Aptos Narrow"/>
      <family val="2"/>
      <scheme val="minor"/>
    </font>
    <font>
      <sz val="12"/>
      <color rgb="FFFF0000"/>
      <name val="Aptos Narrow"/>
      <family val="2"/>
      <scheme val="minor"/>
    </font>
    <font>
      <b/>
      <sz val="12"/>
      <color theme="1"/>
      <name val="Aptos Narrow"/>
      <scheme val="minor"/>
    </font>
    <font>
      <b/>
      <sz val="11"/>
      <color theme="1"/>
      <name val="Aptos Narrow"/>
      <scheme val="minor"/>
    </font>
    <font>
      <b/>
      <i/>
      <sz val="11"/>
      <color theme="1"/>
      <name val="Aptos Narrow"/>
      <scheme val="minor"/>
    </font>
    <font>
      <sz val="11"/>
      <color theme="1"/>
      <name val="Aptos Narrow"/>
      <scheme val="minor"/>
    </font>
    <font>
      <i/>
      <sz val="12"/>
      <color rgb="FFFF0000"/>
      <name val="Aptos Narrow"/>
      <scheme val="minor"/>
    </font>
    <font>
      <sz val="11"/>
      <name val="Aptos Narrow"/>
      <scheme val="minor"/>
    </font>
    <font>
      <sz val="11"/>
      <color rgb="FFFF0000"/>
      <name val="Aptos Narrow"/>
      <scheme val="minor"/>
    </font>
    <font>
      <b/>
      <i/>
      <sz val="11"/>
      <color theme="0"/>
      <name val="Aptos Narrow"/>
      <scheme val="minor"/>
    </font>
    <font>
      <i/>
      <sz val="11"/>
      <color theme="2" tint="-0.499984740745262"/>
      <name val="Aptos Narrow"/>
      <scheme val="minor"/>
    </font>
    <font>
      <b/>
      <sz val="11"/>
      <name val="Aptos Narrow"/>
      <scheme val="minor"/>
    </font>
    <font>
      <b/>
      <sz val="11"/>
      <color theme="2" tint="-0.499984740745262"/>
      <name val="Aptos Narrow"/>
      <scheme val="minor"/>
    </font>
    <font>
      <sz val="11"/>
      <color theme="2" tint="-0.499984740745262"/>
      <name val="Aptos Narrow"/>
      <scheme val="minor"/>
    </font>
    <font>
      <sz val="12"/>
      <color theme="1"/>
      <name val="Aptos Narrow"/>
      <scheme val="minor"/>
    </font>
    <font>
      <b/>
      <sz val="10"/>
      <color theme="1"/>
      <name val="Aptos Narrow"/>
      <scheme val="minor"/>
    </font>
    <font>
      <sz val="10"/>
      <color theme="1"/>
      <name val="Aptos Narrow"/>
      <scheme val="minor"/>
    </font>
    <font>
      <b/>
      <i/>
      <sz val="11"/>
      <color theme="2" tint="-0.499984740745262"/>
      <name val="Aptos Narrow"/>
      <scheme val="minor"/>
    </font>
    <font>
      <b/>
      <sz val="11"/>
      <color theme="0"/>
      <name val="Aptos Narrow"/>
      <scheme val="minor"/>
    </font>
    <font>
      <b/>
      <sz val="11"/>
      <color theme="4"/>
      <name val="Aptos Narrow"/>
      <family val="2"/>
      <scheme val="minor"/>
    </font>
    <font>
      <sz val="12"/>
      <color theme="2" tint="-0.249977111117893"/>
      <name val="Aptos Narrow"/>
      <family val="2"/>
      <scheme val="minor"/>
    </font>
    <font>
      <b/>
      <i/>
      <sz val="11"/>
      <color theme="2" tint="-0.249977111117893"/>
      <name val="Aptos Narrow"/>
      <scheme val="minor"/>
    </font>
    <font>
      <i/>
      <sz val="10"/>
      <color theme="2" tint="-0.249977111117893"/>
      <name val="Aptos Narrow"/>
      <scheme val="minor"/>
    </font>
    <font>
      <i/>
      <sz val="11"/>
      <color theme="2" tint="-0.249977111117893"/>
      <name val="Aptos Narrow"/>
      <scheme val="minor"/>
    </font>
    <font>
      <sz val="11"/>
      <color rgb="FFFF0000"/>
      <name val="Aptos Narrow (Body)"/>
    </font>
    <font>
      <b/>
      <sz val="12"/>
      <color theme="1"/>
      <name val="Aptos Narrow"/>
      <family val="2"/>
      <scheme val="minor"/>
    </font>
    <font>
      <b/>
      <sz val="14"/>
      <color theme="1"/>
      <name val="Aptos Narrow"/>
      <family val="2"/>
      <scheme val="minor"/>
    </font>
    <font>
      <b/>
      <i/>
      <sz val="11"/>
      <color theme="1"/>
      <name val="Aptos Narrow"/>
      <family val="2"/>
      <scheme val="minor"/>
    </font>
    <font>
      <b/>
      <i/>
      <sz val="11"/>
      <color theme="0"/>
      <name val="Aptos Narrow"/>
      <family val="2"/>
      <scheme val="minor"/>
    </font>
    <font>
      <i/>
      <sz val="11"/>
      <color theme="2" tint="-0.499984740745262"/>
      <name val="Aptos Narrow"/>
      <family val="2"/>
      <scheme val="minor"/>
    </font>
    <font>
      <sz val="12"/>
      <color theme="1"/>
      <name val="Aptos"/>
      <family val="2"/>
    </font>
    <font>
      <i/>
      <sz val="12"/>
      <color theme="1"/>
      <name val="Aptos"/>
      <family val="2"/>
    </font>
    <font>
      <b/>
      <sz val="12"/>
      <color theme="1"/>
      <name val="Aptos"/>
    </font>
    <font>
      <b/>
      <u/>
      <sz val="11"/>
      <color theme="1"/>
      <name val="Aptos Narrow"/>
      <family val="2"/>
      <scheme val="minor"/>
    </font>
  </fonts>
  <fills count="38">
    <fill>
      <patternFill patternType="none"/>
    </fill>
    <fill>
      <patternFill patternType="gray125"/>
    </fill>
    <fill>
      <patternFill patternType="solid">
        <fgColor rgb="FFFFCC99"/>
      </patternFill>
    </fill>
    <fill>
      <patternFill patternType="solid">
        <fgColor rgb="FFF2F2F2"/>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patternFill>
    </fill>
    <fill>
      <patternFill patternType="solid">
        <fgColor theme="9"/>
      </patternFill>
    </fill>
    <fill>
      <patternFill patternType="solid">
        <fgColor rgb="FFF2F2F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249977111117893"/>
        <bgColor indexed="64"/>
      </patternFill>
    </fill>
    <fill>
      <patternFill patternType="solid">
        <fgColor theme="1"/>
        <bgColor theme="1"/>
      </patternFill>
    </fill>
    <fill>
      <patternFill patternType="solid">
        <fgColor theme="0"/>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59999389629810485"/>
        <bgColor theme="1"/>
      </patternFill>
    </fill>
    <fill>
      <patternFill patternType="solid">
        <fgColor theme="5" tint="0.39997558519241921"/>
        <bgColor indexed="64"/>
      </patternFill>
    </fill>
    <fill>
      <patternFill patternType="solid">
        <fgColor theme="8"/>
        <bgColor indexed="64"/>
      </patternFill>
    </fill>
    <fill>
      <patternFill patternType="solid">
        <fgColor rgb="FFEFEEB3"/>
        <bgColor indexed="64"/>
      </patternFill>
    </fill>
    <fill>
      <patternFill patternType="solid">
        <fgColor theme="0"/>
      </patternFill>
    </fill>
    <fill>
      <patternFill patternType="solid">
        <fgColor theme="0"/>
        <bgColor theme="1"/>
      </patternFill>
    </fill>
    <fill>
      <patternFill patternType="solid">
        <fgColor theme="9" tint="0.39997558519241921"/>
        <bgColor indexed="64"/>
      </patternFill>
    </fill>
    <fill>
      <patternFill patternType="solid">
        <fgColor theme="7" tint="0.39997558519241921"/>
        <bgColor indexed="64"/>
      </patternFill>
    </fill>
    <fill>
      <patternFill patternType="solid">
        <fgColor rgb="FFEDE90B"/>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B5E6A2"/>
        <bgColor indexed="64"/>
      </patternFill>
    </fill>
    <fill>
      <patternFill patternType="solid">
        <fgColor theme="0" tint="-0.249977111117893"/>
        <bgColor indexed="64"/>
      </patternFill>
    </fill>
  </fills>
  <borders count="11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7F7F7F"/>
      </left>
      <right style="medium">
        <color indexed="64"/>
      </right>
      <top style="thin">
        <color rgb="FF7F7F7F"/>
      </top>
      <bottom style="thin">
        <color rgb="FF7F7F7F"/>
      </bottom>
      <diagonal/>
    </border>
    <border>
      <left style="medium">
        <color indexed="64"/>
      </left>
      <right/>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7F7F7F"/>
      </left>
      <right/>
      <top style="thin">
        <color rgb="FF7F7F7F"/>
      </top>
      <bottom style="thin">
        <color rgb="FF7F7F7F"/>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bottom style="thin">
        <color rgb="FF7F7F7F"/>
      </bottom>
      <diagonal/>
    </border>
    <border>
      <left style="thin">
        <color rgb="FF7F7F7F"/>
      </left>
      <right style="medium">
        <color indexed="64"/>
      </right>
      <top/>
      <bottom style="thin">
        <color rgb="FF7F7F7F"/>
      </bottom>
      <diagonal/>
    </border>
    <border>
      <left/>
      <right style="medium">
        <color indexed="64"/>
      </right>
      <top style="thin">
        <color indexed="64"/>
      </top>
      <bottom/>
      <diagonal/>
    </border>
    <border>
      <left/>
      <right/>
      <top style="thin">
        <color theme="1"/>
      </top>
      <bottom/>
      <diagonal/>
    </border>
    <border>
      <left/>
      <right/>
      <top style="thin">
        <color theme="1"/>
      </top>
      <bottom style="medium">
        <color indexed="64"/>
      </bottom>
      <diagonal/>
    </border>
    <border>
      <left style="thin">
        <color indexed="64"/>
      </left>
      <right/>
      <top style="medium">
        <color indexed="64"/>
      </top>
      <bottom/>
      <diagonal/>
    </border>
    <border>
      <left/>
      <right/>
      <top style="medium">
        <color indexed="64"/>
      </top>
      <bottom/>
      <diagonal/>
    </border>
    <border>
      <left/>
      <right/>
      <top style="medium">
        <color theme="4" tint="0.39997558519241921"/>
      </top>
      <bottom/>
      <diagonal/>
    </border>
    <border>
      <left style="medium">
        <color indexed="64"/>
      </left>
      <right/>
      <top style="thin">
        <color indexed="64"/>
      </top>
      <bottom/>
      <diagonal/>
    </border>
    <border>
      <left/>
      <right/>
      <top style="thin">
        <color indexed="64"/>
      </top>
      <bottom/>
      <diagonal/>
    </border>
    <border>
      <left style="thin">
        <color indexed="64"/>
      </left>
      <right/>
      <top style="medium">
        <color theme="4" tint="0.39997558519241921"/>
      </top>
      <bottom/>
      <diagonal/>
    </border>
    <border>
      <left style="medium">
        <color indexed="64"/>
      </left>
      <right/>
      <top style="double">
        <color theme="4"/>
      </top>
      <bottom style="medium">
        <color theme="4" tint="0.39997558519241921"/>
      </bottom>
      <diagonal/>
    </border>
    <border>
      <left/>
      <right/>
      <top style="double">
        <color theme="4"/>
      </top>
      <bottom style="medium">
        <color theme="4" tint="0.39997558519241921"/>
      </bottom>
      <diagonal/>
    </border>
    <border>
      <left style="thin">
        <color indexed="64"/>
      </left>
      <right style="medium">
        <color indexed="64"/>
      </right>
      <top style="medium">
        <color indexed="64"/>
      </top>
      <bottom/>
      <diagonal/>
    </border>
    <border>
      <left/>
      <right style="medium">
        <color indexed="64"/>
      </right>
      <top style="medium">
        <color theme="4" tint="0.39997558519241921"/>
      </top>
      <bottom/>
      <diagonal/>
    </border>
    <border>
      <left style="thin">
        <color indexed="64"/>
      </left>
      <right style="medium">
        <color indexed="64"/>
      </right>
      <top style="medium">
        <color theme="4" tint="0.39997558519241921"/>
      </top>
      <bottom/>
      <diagonal/>
    </border>
    <border>
      <left/>
      <right style="medium">
        <color indexed="64"/>
      </right>
      <top style="double">
        <color theme="4"/>
      </top>
      <bottom style="medium">
        <color theme="4" tint="0.3999755851924192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diagonalDown="1">
      <left style="medium">
        <color indexed="64"/>
      </left>
      <right style="medium">
        <color indexed="64"/>
      </right>
      <top style="medium">
        <color indexed="64"/>
      </top>
      <bottom style="medium">
        <color indexed="64"/>
      </bottom>
      <diagonal style="medium">
        <color indexed="64"/>
      </diagonal>
    </border>
    <border>
      <left/>
      <right style="thin">
        <color indexed="64"/>
      </right>
      <top style="medium">
        <color indexed="64"/>
      </top>
      <bottom style="thin">
        <color indexed="64"/>
      </bottom>
      <diagonal/>
    </border>
    <border>
      <left style="medium">
        <color indexed="64"/>
      </left>
      <right style="medium">
        <color indexed="64"/>
      </right>
      <top style="medium">
        <color theme="4" tint="0.39997558519241921"/>
      </top>
      <bottom/>
      <diagonal/>
    </border>
    <border>
      <left style="medium">
        <color indexed="64"/>
      </left>
      <right style="medium">
        <color indexed="64"/>
      </right>
      <top style="double">
        <color theme="4"/>
      </top>
      <bottom style="medium">
        <color theme="4" tint="0.39997558519241921"/>
      </bottom>
      <diagonal/>
    </border>
    <border>
      <left style="medium">
        <color indexed="64"/>
      </left>
      <right style="medium">
        <color indexed="64"/>
      </right>
      <top style="thin">
        <color theme="1"/>
      </top>
      <bottom/>
      <diagonal/>
    </border>
    <border>
      <left style="medium">
        <color indexed="64"/>
      </left>
      <right style="medium">
        <color indexed="64"/>
      </right>
      <top style="thin">
        <color theme="1"/>
      </top>
      <bottom style="medium">
        <color indexed="64"/>
      </bottom>
      <diagonal/>
    </border>
    <border>
      <left style="medium">
        <color indexed="64"/>
      </left>
      <right/>
      <top style="medium">
        <color theme="4" tint="0.39997558519241921"/>
      </top>
      <bottom style="medium">
        <color theme="4" tint="0.39997558519241921"/>
      </bottom>
      <diagonal/>
    </border>
    <border>
      <left/>
      <right/>
      <top style="medium">
        <color theme="4" tint="0.39997558519241921"/>
      </top>
      <bottom style="medium">
        <color theme="4" tint="0.39997558519241921"/>
      </bottom>
      <diagonal/>
    </border>
    <border>
      <left/>
      <right style="medium">
        <color indexed="64"/>
      </right>
      <top style="medium">
        <color theme="4" tint="0.39997558519241921"/>
      </top>
      <bottom style="medium">
        <color theme="4" tint="0.39997558519241921"/>
      </bottom>
      <diagonal/>
    </border>
    <border>
      <left/>
      <right style="thin">
        <color indexed="64"/>
      </right>
      <top style="medium">
        <color theme="4" tint="0.39997558519241921"/>
      </top>
      <bottom/>
      <diagonal/>
    </border>
    <border>
      <left/>
      <right style="thin">
        <color indexed="64"/>
      </right>
      <top style="thin">
        <color indexed="64"/>
      </top>
      <bottom style="double">
        <color theme="4"/>
      </bottom>
      <diagonal/>
    </border>
    <border>
      <left style="medium">
        <color indexed="64"/>
      </left>
      <right style="thin">
        <color indexed="64"/>
      </right>
      <top style="medium">
        <color theme="4" tint="0.39997558519241921"/>
      </top>
      <bottom/>
      <diagonal/>
    </border>
    <border>
      <left style="medium">
        <color indexed="64"/>
      </left>
      <right style="thin">
        <color indexed="64"/>
      </right>
      <top style="thin">
        <color indexed="64"/>
      </top>
      <bottom style="double">
        <color theme="4"/>
      </bottom>
      <diagonal/>
    </border>
    <border>
      <left style="thin">
        <color indexed="64"/>
      </left>
      <right style="thin">
        <color indexed="64"/>
      </right>
      <top style="medium">
        <color indexed="64"/>
      </top>
      <bottom/>
      <diagonal/>
    </border>
    <border>
      <left/>
      <right style="thin">
        <color rgb="FF7F7F7F"/>
      </right>
      <top style="thin">
        <color rgb="FF7F7F7F"/>
      </top>
      <bottom style="thin">
        <color rgb="FF7F7F7F"/>
      </bottom>
      <diagonal/>
    </border>
    <border>
      <left/>
      <right style="thin">
        <color indexed="64"/>
      </right>
      <top style="thin">
        <color indexed="64"/>
      </top>
      <bottom/>
      <diagonal/>
    </border>
    <border>
      <left style="medium">
        <color indexed="64"/>
      </left>
      <right style="medium">
        <color indexed="64"/>
      </right>
      <top style="thin">
        <color rgb="FF7F7F7F"/>
      </top>
      <bottom style="thin">
        <color rgb="FF7F7F7F"/>
      </bottom>
      <diagonal/>
    </border>
    <border>
      <left/>
      <right style="thin">
        <color rgb="FF7F7F7F"/>
      </right>
      <top/>
      <bottom style="thin">
        <color rgb="FF7F7F7F"/>
      </bottom>
      <diagonal/>
    </border>
    <border>
      <left style="medium">
        <color indexed="64"/>
      </left>
      <right style="medium">
        <color indexed="64"/>
      </right>
      <top style="medium">
        <color indexed="64"/>
      </top>
      <bottom style="thin">
        <color rgb="FF7F7F7F"/>
      </bottom>
      <diagonal/>
    </border>
    <border>
      <left style="medium">
        <color indexed="64"/>
      </left>
      <right/>
      <top style="medium">
        <color indexed="64"/>
      </top>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theme="4" tint="0.39997558519241921"/>
      </bottom>
      <diagonal/>
    </border>
    <border>
      <left/>
      <right style="medium">
        <color indexed="64"/>
      </right>
      <top/>
      <bottom style="medium">
        <color theme="4" tint="0.39997558519241921"/>
      </bottom>
      <diagonal/>
    </border>
    <border>
      <left style="medium">
        <color indexed="64"/>
      </left>
      <right style="medium">
        <color indexed="64"/>
      </right>
      <top/>
      <bottom style="medium">
        <color theme="4" tint="0.39997558519241921"/>
      </bottom>
      <diagonal/>
    </border>
    <border>
      <left style="medium">
        <color indexed="64"/>
      </left>
      <right style="medium">
        <color indexed="64"/>
      </right>
      <top style="medium">
        <color theme="4" tint="0.39997558519241921"/>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theme="4" tint="0.39997558519241921"/>
      </top>
      <bottom style="thin">
        <color indexed="64"/>
      </bottom>
      <diagonal/>
    </border>
    <border>
      <left style="medium">
        <color indexed="64"/>
      </left>
      <right/>
      <top style="medium">
        <color theme="4" tint="0.39997558519241921"/>
      </top>
      <bottom style="thin">
        <color indexed="64"/>
      </bottom>
      <diagonal/>
    </border>
    <border>
      <left/>
      <right style="medium">
        <color indexed="64"/>
      </right>
      <top style="medium">
        <color theme="4" tint="0.39997558519241921"/>
      </top>
      <bottom style="thin">
        <color indexed="64"/>
      </bottom>
      <diagonal/>
    </border>
    <border>
      <left style="medium">
        <color indexed="64"/>
      </left>
      <right style="medium">
        <color indexed="64"/>
      </right>
      <top style="medium">
        <color indexed="64"/>
      </top>
      <bottom style="medium">
        <color theme="4" tint="0.39997558519241921"/>
      </bottom>
      <diagonal/>
    </border>
    <border>
      <left style="medium">
        <color indexed="64"/>
      </left>
      <right/>
      <top style="medium">
        <color indexed="64"/>
      </top>
      <bottom style="medium">
        <color theme="4" tint="0.39997558519241921"/>
      </bottom>
      <diagonal/>
    </border>
    <border>
      <left/>
      <right/>
      <top style="medium">
        <color indexed="64"/>
      </top>
      <bottom style="medium">
        <color theme="4" tint="0.39997558519241921"/>
      </bottom>
      <diagonal/>
    </border>
    <border>
      <left/>
      <right style="medium">
        <color indexed="64"/>
      </right>
      <top style="medium">
        <color indexed="64"/>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style="medium">
        <color indexed="64"/>
      </right>
      <top/>
      <bottom style="thin">
        <color rgb="FF7F7F7F"/>
      </bottom>
      <diagonal/>
    </border>
    <border>
      <left/>
      <right style="thin">
        <color rgb="FF7F7F7F"/>
      </right>
      <top style="medium">
        <color indexed="64"/>
      </top>
      <bottom style="thin">
        <color rgb="FF7F7F7F"/>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8">
    <xf numFmtId="0" fontId="0" fillId="0" borderId="0"/>
    <xf numFmtId="9" fontId="7" fillId="0" borderId="0" applyFont="0" applyFill="0" applyBorder="0" applyAlignment="0" applyProtection="0"/>
    <xf numFmtId="0" fontId="6" fillId="0" borderId="0"/>
    <xf numFmtId="43" fontId="7" fillId="0" borderId="0" applyFont="0" applyFill="0" applyBorder="0" applyAlignment="0" applyProtection="0"/>
    <xf numFmtId="0" fontId="11" fillId="0" borderId="24" applyNumberFormat="0" applyFill="0" applyAlignment="0" applyProtection="0"/>
    <xf numFmtId="0" fontId="12" fillId="15" borderId="0" applyNumberFormat="0" applyBorder="0" applyAlignment="0" applyProtection="0"/>
    <xf numFmtId="0" fontId="12" fillId="16" borderId="0" applyNumberFormat="0" applyBorder="0" applyAlignment="0" applyProtection="0"/>
    <xf numFmtId="0" fontId="10" fillId="0" borderId="23" applyNumberFormat="0" applyFill="0" applyAlignment="0" applyProtection="0"/>
  </cellStyleXfs>
  <cellXfs count="574">
    <xf numFmtId="0" fontId="0" fillId="0" borderId="0" xfId="0"/>
    <xf numFmtId="165" fontId="0" fillId="0" borderId="0" xfId="3" applyNumberFormat="1" applyFont="1"/>
    <xf numFmtId="0" fontId="8" fillId="0" borderId="0" xfId="3" quotePrefix="1" applyNumberFormat="1" applyFont="1"/>
    <xf numFmtId="166" fontId="9" fillId="7" borderId="2" xfId="3" applyNumberFormat="1" applyFont="1" applyFill="1" applyBorder="1"/>
    <xf numFmtId="166" fontId="9" fillId="7" borderId="8" xfId="3" applyNumberFormat="1" applyFont="1" applyFill="1" applyBorder="1"/>
    <xf numFmtId="166" fontId="5" fillId="6" borderId="32" xfId="3" applyNumberFormat="1" applyFont="1" applyFill="1" applyBorder="1"/>
    <xf numFmtId="165" fontId="5" fillId="18" borderId="32" xfId="3" applyNumberFormat="1" applyFont="1" applyFill="1" applyBorder="1"/>
    <xf numFmtId="166" fontId="10" fillId="17" borderId="34" xfId="7" applyNumberFormat="1" applyFill="1" applyBorder="1" applyAlignment="1">
      <alignment horizontal="right"/>
    </xf>
    <xf numFmtId="166" fontId="5" fillId="6" borderId="35" xfId="3" applyNumberFormat="1" applyFont="1" applyFill="1" applyBorder="1"/>
    <xf numFmtId="166" fontId="5" fillId="6" borderId="21" xfId="3" applyNumberFormat="1" applyFont="1" applyFill="1" applyBorder="1"/>
    <xf numFmtId="165" fontId="11" fillId="6" borderId="33" xfId="4" applyNumberFormat="1" applyFill="1" applyBorder="1" applyAlignment="1">
      <alignment horizontal="right"/>
    </xf>
    <xf numFmtId="165" fontId="5" fillId="18" borderId="21" xfId="3" applyNumberFormat="1" applyFont="1" applyFill="1" applyBorder="1"/>
    <xf numFmtId="165" fontId="11" fillId="18" borderId="33" xfId="4" applyNumberFormat="1" applyFill="1" applyBorder="1" applyAlignment="1">
      <alignment horizontal="right"/>
    </xf>
    <xf numFmtId="166" fontId="10" fillId="17" borderId="27" xfId="7" applyNumberFormat="1" applyFill="1" applyBorder="1" applyAlignment="1">
      <alignment horizontal="right"/>
    </xf>
    <xf numFmtId="166" fontId="5" fillId="6" borderId="40" xfId="3" applyNumberFormat="1" applyFont="1" applyFill="1" applyBorder="1"/>
    <xf numFmtId="166" fontId="5" fillId="6" borderId="22" xfId="3" applyNumberFormat="1" applyFont="1" applyFill="1" applyBorder="1"/>
    <xf numFmtId="9" fontId="11" fillId="19" borderId="27" xfId="4" applyNumberFormat="1" applyFill="1" applyBorder="1"/>
    <xf numFmtId="168" fontId="5" fillId="18" borderId="35" xfId="3" applyNumberFormat="1" applyFont="1" applyFill="1" applyBorder="1"/>
    <xf numFmtId="0" fontId="0" fillId="22" borderId="0" xfId="0" applyFill="1"/>
    <xf numFmtId="0" fontId="24" fillId="22" borderId="0" xfId="0" applyFont="1" applyFill="1"/>
    <xf numFmtId="0" fontId="23" fillId="22" borderId="0" xfId="0" applyFont="1" applyFill="1"/>
    <xf numFmtId="3" fontId="6" fillId="14" borderId="2" xfId="2" applyNumberFormat="1" applyFill="1" applyBorder="1" applyAlignment="1">
      <alignment horizontal="right" wrapText="1"/>
    </xf>
    <xf numFmtId="3" fontId="6" fillId="13" borderId="2" xfId="2" applyNumberFormat="1" applyFill="1" applyBorder="1" applyAlignment="1">
      <alignment horizontal="right" wrapText="1"/>
    </xf>
    <xf numFmtId="164" fontId="6" fillId="14" borderId="2" xfId="2" applyNumberFormat="1" applyFill="1" applyBorder="1" applyAlignment="1">
      <alignment horizontal="right" wrapText="1"/>
    </xf>
    <xf numFmtId="0" fontId="6" fillId="22" borderId="0" xfId="2" applyFill="1"/>
    <xf numFmtId="0" fontId="25" fillId="22" borderId="0" xfId="2" applyFont="1" applyFill="1"/>
    <xf numFmtId="3" fontId="4" fillId="14" borderId="2" xfId="2" applyNumberFormat="1" applyFont="1" applyFill="1" applyBorder="1" applyAlignment="1">
      <alignment horizontal="left" wrapText="1"/>
    </xf>
    <xf numFmtId="3" fontId="4" fillId="13" borderId="2" xfId="2" applyNumberFormat="1" applyFont="1" applyFill="1" applyBorder="1" applyAlignment="1">
      <alignment horizontal="left" wrapText="1"/>
    </xf>
    <xf numFmtId="0" fontId="4" fillId="12" borderId="42" xfId="2" applyFont="1" applyFill="1" applyBorder="1" applyAlignment="1">
      <alignment horizontal="center" wrapText="1"/>
    </xf>
    <xf numFmtId="3" fontId="6" fillId="14" borderId="6" xfId="2" applyNumberFormat="1" applyFill="1" applyBorder="1" applyAlignment="1">
      <alignment horizontal="right" wrapText="1"/>
    </xf>
    <xf numFmtId="0" fontId="4" fillId="12" borderId="43" xfId="2" applyFont="1" applyFill="1" applyBorder="1" applyAlignment="1">
      <alignment horizontal="center" wrapText="1"/>
    </xf>
    <xf numFmtId="3" fontId="6" fillId="14" borderId="67" xfId="2" applyNumberFormat="1" applyFill="1" applyBorder="1" applyAlignment="1">
      <alignment horizontal="right" wrapText="1"/>
    </xf>
    <xf numFmtId="3" fontId="6" fillId="14" borderId="44" xfId="2" applyNumberFormat="1" applyFill="1" applyBorder="1" applyAlignment="1">
      <alignment horizontal="right" wrapText="1"/>
    </xf>
    <xf numFmtId="3" fontId="6" fillId="13" borderId="44" xfId="2" applyNumberFormat="1" applyFill="1" applyBorder="1" applyAlignment="1">
      <alignment horizontal="right" wrapText="1"/>
    </xf>
    <xf numFmtId="164" fontId="6" fillId="14" borderId="44" xfId="2" applyNumberFormat="1" applyFill="1" applyBorder="1" applyAlignment="1">
      <alignment horizontal="right" wrapText="1"/>
    </xf>
    <xf numFmtId="0" fontId="6" fillId="12" borderId="62" xfId="2" quotePrefix="1" applyFill="1" applyBorder="1" applyAlignment="1">
      <alignment wrapText="1"/>
    </xf>
    <xf numFmtId="0" fontId="6" fillId="12" borderId="47" xfId="2" quotePrefix="1" applyFill="1" applyBorder="1" applyAlignment="1">
      <alignment wrapText="1"/>
    </xf>
    <xf numFmtId="0" fontId="5" fillId="12" borderId="47" xfId="2" quotePrefix="1" applyFont="1" applyFill="1" applyBorder="1" applyAlignment="1">
      <alignment wrapText="1"/>
    </xf>
    <xf numFmtId="3" fontId="6" fillId="14" borderId="15" xfId="2" applyNumberFormat="1" applyFill="1" applyBorder="1" applyAlignment="1">
      <alignment horizontal="right" wrapText="1"/>
    </xf>
    <xf numFmtId="3" fontId="6" fillId="14" borderId="16" xfId="2" applyNumberFormat="1" applyFill="1" applyBorder="1" applyAlignment="1">
      <alignment horizontal="right" wrapText="1"/>
    </xf>
    <xf numFmtId="3" fontId="5" fillId="14" borderId="16" xfId="2" applyNumberFormat="1" applyFont="1" applyFill="1" applyBorder="1" applyAlignment="1">
      <alignment horizontal="right" wrapText="1"/>
    </xf>
    <xf numFmtId="3" fontId="6" fillId="13" borderId="16" xfId="2" applyNumberFormat="1" applyFill="1" applyBorder="1" applyAlignment="1">
      <alignment horizontal="right" wrapText="1"/>
    </xf>
    <xf numFmtId="164" fontId="6" fillId="14" borderId="16" xfId="2" applyNumberFormat="1" applyFill="1" applyBorder="1" applyAlignment="1">
      <alignment horizontal="right" wrapText="1"/>
    </xf>
    <xf numFmtId="0" fontId="4" fillId="12" borderId="47" xfId="2" applyFont="1" applyFill="1" applyBorder="1" applyAlignment="1">
      <alignment horizontal="left" wrapText="1"/>
    </xf>
    <xf numFmtId="0" fontId="27" fillId="22" borderId="0" xfId="0" applyFont="1" applyFill="1"/>
    <xf numFmtId="0" fontId="27" fillId="22" borderId="0" xfId="0" applyFont="1" applyFill="1" applyAlignment="1">
      <alignment horizontal="left"/>
    </xf>
    <xf numFmtId="0" fontId="4" fillId="12" borderId="48" xfId="2" quotePrefix="1" applyFont="1" applyFill="1" applyBorder="1" applyAlignment="1">
      <alignment wrapText="1"/>
    </xf>
    <xf numFmtId="0" fontId="4" fillId="12" borderId="47" xfId="2" quotePrefix="1" applyFont="1" applyFill="1" applyBorder="1" applyAlignment="1">
      <alignment wrapText="1"/>
    </xf>
    <xf numFmtId="0" fontId="4" fillId="12" borderId="47" xfId="2" applyFont="1" applyFill="1" applyBorder="1" applyAlignment="1">
      <alignment wrapText="1"/>
    </xf>
    <xf numFmtId="3" fontId="6" fillId="14" borderId="45" xfId="2" applyNumberFormat="1" applyFill="1" applyBorder="1" applyAlignment="1">
      <alignment horizontal="right" wrapText="1"/>
    </xf>
    <xf numFmtId="3" fontId="6" fillId="14" borderId="10" xfId="2" applyNumberFormat="1" applyFill="1" applyBorder="1" applyAlignment="1">
      <alignment horizontal="right" wrapText="1"/>
    </xf>
    <xf numFmtId="3" fontId="14" fillId="14" borderId="17" xfId="2" applyNumberFormat="1" applyFont="1" applyFill="1" applyBorder="1" applyAlignment="1">
      <alignment horizontal="right" wrapText="1"/>
    </xf>
    <xf numFmtId="168" fontId="5" fillId="18" borderId="40" xfId="3" applyNumberFormat="1" applyFont="1" applyFill="1" applyBorder="1"/>
    <xf numFmtId="165" fontId="10" fillId="17" borderId="65" xfId="7" applyNumberFormat="1" applyFill="1" applyBorder="1" applyAlignment="1">
      <alignment horizontal="left"/>
    </xf>
    <xf numFmtId="165" fontId="14" fillId="6" borderId="68" xfId="3" applyNumberFormat="1" applyFont="1" applyFill="1" applyBorder="1" applyAlignment="1">
      <alignment horizontal="right"/>
    </xf>
    <xf numFmtId="165" fontId="14" fillId="6" borderId="65" xfId="3" applyNumberFormat="1" applyFont="1" applyFill="1" applyBorder="1" applyAlignment="1">
      <alignment horizontal="right"/>
    </xf>
    <xf numFmtId="165" fontId="11" fillId="6" borderId="65" xfId="4" applyNumberFormat="1" applyFill="1" applyBorder="1" applyAlignment="1">
      <alignment horizontal="right"/>
    </xf>
    <xf numFmtId="165" fontId="14" fillId="18" borderId="68" xfId="3" applyNumberFormat="1" applyFont="1" applyFill="1" applyBorder="1" applyAlignment="1">
      <alignment horizontal="right"/>
    </xf>
    <xf numFmtId="165" fontId="14" fillId="18" borderId="65" xfId="3" applyNumberFormat="1" applyFont="1" applyFill="1" applyBorder="1" applyAlignment="1">
      <alignment horizontal="right"/>
    </xf>
    <xf numFmtId="165" fontId="11" fillId="18" borderId="65" xfId="4" applyNumberFormat="1" applyFill="1" applyBorder="1" applyAlignment="1">
      <alignment horizontal="right"/>
    </xf>
    <xf numFmtId="165" fontId="14" fillId="19" borderId="68" xfId="3" applyNumberFormat="1" applyFont="1" applyFill="1" applyBorder="1" applyAlignment="1">
      <alignment horizontal="right"/>
    </xf>
    <xf numFmtId="165" fontId="14" fillId="19" borderId="65" xfId="3" applyNumberFormat="1" applyFont="1" applyFill="1" applyBorder="1" applyAlignment="1">
      <alignment horizontal="right"/>
    </xf>
    <xf numFmtId="165" fontId="11" fillId="19" borderId="65" xfId="4" applyNumberFormat="1" applyFill="1" applyBorder="1" applyAlignment="1">
      <alignment horizontal="right"/>
    </xf>
    <xf numFmtId="165" fontId="15" fillId="7" borderId="47" xfId="3" applyNumberFormat="1" applyFont="1" applyFill="1" applyBorder="1" applyAlignment="1">
      <alignment horizontal="right"/>
    </xf>
    <xf numFmtId="166" fontId="5" fillId="6" borderId="34" xfId="3" applyNumberFormat="1" applyFont="1" applyFill="1" applyBorder="1"/>
    <xf numFmtId="165" fontId="5" fillId="18" borderId="34" xfId="3" applyNumberFormat="1" applyFont="1" applyFill="1" applyBorder="1"/>
    <xf numFmtId="166" fontId="9" fillId="7" borderId="44" xfId="3" applyNumberFormat="1" applyFont="1" applyFill="1" applyBorder="1"/>
    <xf numFmtId="165" fontId="10" fillId="17" borderId="65" xfId="7" applyNumberFormat="1" applyFill="1" applyBorder="1" applyAlignment="1">
      <alignment horizontal="right"/>
    </xf>
    <xf numFmtId="165" fontId="17" fillId="7" borderId="70" xfId="3" applyNumberFormat="1" applyFont="1" applyFill="1" applyBorder="1" applyAlignment="1">
      <alignment horizontal="right" wrapText="1"/>
    </xf>
    <xf numFmtId="0" fontId="28" fillId="22" borderId="0" xfId="0" applyFont="1" applyFill="1"/>
    <xf numFmtId="167" fontId="5" fillId="19" borderId="39" xfId="1" applyNumberFormat="1" applyFont="1" applyFill="1" applyBorder="1"/>
    <xf numFmtId="165" fontId="11" fillId="18" borderId="2" xfId="4" applyNumberFormat="1" applyFill="1" applyBorder="1"/>
    <xf numFmtId="167" fontId="5" fillId="19" borderId="75" xfId="1" applyNumberFormat="1" applyFont="1" applyFill="1" applyBorder="1"/>
    <xf numFmtId="9" fontId="11" fillId="19" borderId="76" xfId="4" applyNumberFormat="1" applyFill="1" applyBorder="1"/>
    <xf numFmtId="167" fontId="5" fillId="19" borderId="77" xfId="1" applyNumberFormat="1" applyFont="1" applyFill="1" applyBorder="1"/>
    <xf numFmtId="9" fontId="11" fillId="19" borderId="78" xfId="4" applyNumberFormat="1" applyFill="1" applyBorder="1"/>
    <xf numFmtId="43" fontId="25" fillId="6" borderId="67" xfId="3" applyFont="1" applyFill="1" applyBorder="1"/>
    <xf numFmtId="43" fontId="25" fillId="6" borderId="6" xfId="3" applyFont="1" applyFill="1" applyBorder="1"/>
    <xf numFmtId="43" fontId="25" fillId="6" borderId="15" xfId="3" applyFont="1" applyFill="1" applyBorder="1"/>
    <xf numFmtId="0" fontId="25" fillId="6" borderId="7" xfId="3" applyNumberFormat="1" applyFont="1" applyFill="1" applyBorder="1"/>
    <xf numFmtId="43" fontId="29" fillId="2" borderId="47" xfId="3" applyFont="1" applyFill="1" applyBorder="1" applyAlignment="1">
      <alignment horizontal="right"/>
    </xf>
    <xf numFmtId="43" fontId="29" fillId="2" borderId="44" xfId="3" applyFont="1" applyFill="1" applyBorder="1"/>
    <xf numFmtId="43" fontId="29" fillId="2" borderId="2" xfId="3" applyFont="1" applyFill="1" applyBorder="1"/>
    <xf numFmtId="166" fontId="29" fillId="2" borderId="16" xfId="3" applyNumberFormat="1" applyFont="1" applyFill="1" applyBorder="1" applyAlignment="1">
      <alignment horizontal="right"/>
    </xf>
    <xf numFmtId="0" fontId="29" fillId="2" borderId="8" xfId="3" applyNumberFormat="1" applyFont="1" applyFill="1" applyBorder="1"/>
    <xf numFmtId="166" fontId="29" fillId="2" borderId="2" xfId="3" applyNumberFormat="1" applyFont="1" applyFill="1" applyBorder="1" applyAlignment="1">
      <alignment horizontal="right"/>
    </xf>
    <xf numFmtId="43" fontId="25" fillId="6" borderId="15" xfId="3" applyFont="1" applyFill="1" applyBorder="1" applyAlignment="1">
      <alignment horizontal="right"/>
    </xf>
    <xf numFmtId="43" fontId="29" fillId="2" borderId="80" xfId="3" applyFont="1" applyFill="1" applyBorder="1"/>
    <xf numFmtId="43" fontId="29" fillId="2" borderId="1" xfId="3" applyFont="1" applyFill="1" applyBorder="1"/>
    <xf numFmtId="166" fontId="29" fillId="2" borderId="1" xfId="3" applyNumberFormat="1" applyFont="1" applyFill="1" applyBorder="1" applyAlignment="1">
      <alignment horizontal="right"/>
    </xf>
    <xf numFmtId="0" fontId="29" fillId="2" borderId="12" xfId="3" applyNumberFormat="1" applyFont="1" applyFill="1" applyBorder="1"/>
    <xf numFmtId="43" fontId="29" fillId="2" borderId="65" xfId="3" applyFont="1" applyFill="1" applyBorder="1" applyAlignment="1">
      <alignment horizontal="right"/>
    </xf>
    <xf numFmtId="43" fontId="29" fillId="2" borderId="81" xfId="3" applyFont="1" applyFill="1" applyBorder="1"/>
    <xf numFmtId="43" fontId="29" fillId="2" borderId="20" xfId="3" applyFont="1" applyFill="1" applyBorder="1"/>
    <xf numFmtId="43" fontId="29" fillId="2" borderId="21" xfId="3" applyFont="1" applyFill="1" applyBorder="1" applyAlignment="1">
      <alignment horizontal="right"/>
    </xf>
    <xf numFmtId="0" fontId="29" fillId="2" borderId="22" xfId="3" applyNumberFormat="1" applyFont="1" applyFill="1" applyBorder="1"/>
    <xf numFmtId="43" fontId="29" fillId="2" borderId="48" xfId="3" applyFont="1" applyFill="1" applyBorder="1" applyAlignment="1">
      <alignment horizontal="right"/>
    </xf>
    <xf numFmtId="43" fontId="29" fillId="2" borderId="45" xfId="3" applyFont="1" applyFill="1" applyBorder="1"/>
    <xf numFmtId="43" fontId="29" fillId="2" borderId="10" xfId="3" applyFont="1" applyFill="1" applyBorder="1"/>
    <xf numFmtId="43" fontId="29" fillId="2" borderId="17" xfId="3" applyFont="1" applyFill="1" applyBorder="1" applyAlignment="1">
      <alignment horizontal="right"/>
    </xf>
    <xf numFmtId="43" fontId="29" fillId="2" borderId="10" xfId="3" quotePrefix="1" applyFont="1" applyFill="1" applyBorder="1"/>
    <xf numFmtId="168" fontId="29" fillId="2" borderId="17" xfId="3" applyNumberFormat="1" applyFont="1" applyFill="1" applyBorder="1" applyAlignment="1">
      <alignment horizontal="right"/>
    </xf>
    <xf numFmtId="43" fontId="29" fillId="4" borderId="82" xfId="3" applyFont="1" applyFill="1" applyBorder="1" applyAlignment="1">
      <alignment horizontal="right"/>
    </xf>
    <xf numFmtId="43" fontId="29" fillId="4" borderId="80" xfId="3" applyFont="1" applyFill="1" applyBorder="1"/>
    <xf numFmtId="43" fontId="29" fillId="4" borderId="1" xfId="3" applyFont="1" applyFill="1" applyBorder="1"/>
    <xf numFmtId="166" fontId="29" fillId="4" borderId="18" xfId="3" applyNumberFormat="1" applyFont="1" applyFill="1" applyBorder="1" applyAlignment="1">
      <alignment horizontal="right"/>
    </xf>
    <xf numFmtId="0" fontId="29" fillId="4" borderId="12" xfId="3" applyNumberFormat="1" applyFont="1" applyFill="1" applyBorder="1"/>
    <xf numFmtId="43" fontId="25" fillId="5" borderId="79" xfId="3" applyFont="1" applyFill="1" applyBorder="1"/>
    <xf numFmtId="43" fontId="25" fillId="5" borderId="30" xfId="3" applyFont="1" applyFill="1" applyBorder="1" applyAlignment="1">
      <alignment horizontal="right"/>
    </xf>
    <xf numFmtId="0" fontId="25" fillId="5" borderId="38" xfId="3" applyNumberFormat="1" applyFont="1" applyFill="1" applyBorder="1"/>
    <xf numFmtId="43" fontId="29" fillId="3" borderId="62" xfId="3" applyFont="1" applyFill="1" applyBorder="1" applyAlignment="1">
      <alignment horizontal="right"/>
    </xf>
    <xf numFmtId="43" fontId="29" fillId="3" borderId="67" xfId="3" applyFont="1" applyFill="1" applyBorder="1"/>
    <xf numFmtId="43" fontId="29" fillId="3" borderId="6" xfId="3" applyFont="1" applyFill="1" applyBorder="1"/>
    <xf numFmtId="166" fontId="29" fillId="3" borderId="6" xfId="3" applyNumberFormat="1" applyFont="1" applyFill="1" applyBorder="1" applyAlignment="1">
      <alignment horizontal="right"/>
    </xf>
    <xf numFmtId="0" fontId="29" fillId="3" borderId="7" xfId="3" applyNumberFormat="1" applyFont="1" applyFill="1" applyBorder="1"/>
    <xf numFmtId="43" fontId="29" fillId="3" borderId="47" xfId="3" applyFont="1" applyFill="1" applyBorder="1" applyAlignment="1">
      <alignment horizontal="right"/>
    </xf>
    <xf numFmtId="43" fontId="29" fillId="3" borderId="44" xfId="3" applyFont="1" applyFill="1" applyBorder="1"/>
    <xf numFmtId="43" fontId="29" fillId="3" borderId="2" xfId="3" applyFont="1" applyFill="1" applyBorder="1"/>
    <xf numFmtId="166" fontId="29" fillId="3" borderId="2" xfId="3" applyNumberFormat="1" applyFont="1" applyFill="1" applyBorder="1" applyAlignment="1">
      <alignment horizontal="right"/>
    </xf>
    <xf numFmtId="0" fontId="29" fillId="3" borderId="8" xfId="3" applyNumberFormat="1" applyFont="1" applyFill="1" applyBorder="1"/>
    <xf numFmtId="43" fontId="32" fillId="3" borderId="47" xfId="3" applyFont="1" applyFill="1" applyBorder="1" applyAlignment="1">
      <alignment horizontal="right"/>
    </xf>
    <xf numFmtId="43" fontId="32" fillId="3" borderId="44" xfId="3" applyFont="1" applyFill="1" applyBorder="1"/>
    <xf numFmtId="43" fontId="32" fillId="3" borderId="2" xfId="3" applyFont="1" applyFill="1" applyBorder="1"/>
    <xf numFmtId="43" fontId="32" fillId="3" borderId="2" xfId="3" applyFont="1" applyFill="1" applyBorder="1" applyAlignment="1">
      <alignment horizontal="right"/>
    </xf>
    <xf numFmtId="0" fontId="29" fillId="3" borderId="2" xfId="3" applyNumberFormat="1" applyFont="1" applyFill="1" applyBorder="1"/>
    <xf numFmtId="166" fontId="29" fillId="3" borderId="2" xfId="3" applyNumberFormat="1" applyFont="1" applyFill="1" applyBorder="1"/>
    <xf numFmtId="43" fontId="29" fillId="3" borderId="8" xfId="3" applyFont="1" applyFill="1" applyBorder="1" applyAlignment="1">
      <alignment wrapText="1"/>
    </xf>
    <xf numFmtId="43" fontId="33" fillId="3" borderId="47" xfId="3" applyFont="1" applyFill="1" applyBorder="1" applyAlignment="1">
      <alignment horizontal="right"/>
    </xf>
    <xf numFmtId="43" fontId="33" fillId="3" borderId="44" xfId="3" applyFont="1" applyFill="1" applyBorder="1"/>
    <xf numFmtId="43" fontId="33" fillId="3" borderId="2" xfId="3" applyFont="1" applyFill="1" applyBorder="1"/>
    <xf numFmtId="166" fontId="33" fillId="3" borderId="2" xfId="3" applyNumberFormat="1" applyFont="1" applyFill="1" applyBorder="1" applyAlignment="1">
      <alignment horizontal="right"/>
    </xf>
    <xf numFmtId="0" fontId="33" fillId="3" borderId="8" xfId="3" applyNumberFormat="1" applyFont="1" applyFill="1" applyBorder="1"/>
    <xf numFmtId="43" fontId="33" fillId="3" borderId="48" xfId="3" applyFont="1" applyFill="1" applyBorder="1" applyAlignment="1">
      <alignment horizontal="right"/>
    </xf>
    <xf numFmtId="43" fontId="29" fillId="8" borderId="84" xfId="3" applyFont="1" applyFill="1" applyBorder="1" applyAlignment="1">
      <alignment horizontal="right"/>
    </xf>
    <xf numFmtId="43" fontId="29" fillId="8" borderId="83" xfId="3" applyFont="1" applyFill="1" applyBorder="1"/>
    <xf numFmtId="43" fontId="29" fillId="8" borderId="25" xfId="3" applyFont="1" applyFill="1" applyBorder="1"/>
    <xf numFmtId="166" fontId="29" fillId="8" borderId="25" xfId="3" applyNumberFormat="1" applyFont="1" applyFill="1" applyBorder="1" applyAlignment="1">
      <alignment horizontal="right"/>
    </xf>
    <xf numFmtId="43" fontId="29" fillId="8" borderId="47" xfId="3" applyFont="1" applyFill="1" applyBorder="1" applyAlignment="1">
      <alignment horizontal="right"/>
    </xf>
    <xf numFmtId="43" fontId="29" fillId="8" borderId="44" xfId="3" applyFont="1" applyFill="1" applyBorder="1"/>
    <xf numFmtId="43" fontId="29" fillId="8" borderId="2" xfId="3" applyFont="1" applyFill="1" applyBorder="1"/>
    <xf numFmtId="166" fontId="29" fillId="8" borderId="2" xfId="3" applyNumberFormat="1" applyFont="1" applyFill="1" applyBorder="1" applyAlignment="1">
      <alignment horizontal="right"/>
    </xf>
    <xf numFmtId="0" fontId="29" fillId="8" borderId="8" xfId="3" applyNumberFormat="1" applyFont="1" applyFill="1" applyBorder="1" applyAlignment="1">
      <alignment wrapText="1"/>
    </xf>
    <xf numFmtId="43" fontId="34" fillId="8" borderId="47" xfId="3" applyFont="1" applyFill="1" applyBorder="1" applyAlignment="1">
      <alignment horizontal="right"/>
    </xf>
    <xf numFmtId="43" fontId="35" fillId="8" borderId="44" xfId="3" applyFont="1" applyFill="1" applyBorder="1"/>
    <xf numFmtId="43" fontId="35" fillId="8" borderId="2" xfId="3" applyFont="1" applyFill="1" applyBorder="1"/>
    <xf numFmtId="166" fontId="35" fillId="8" borderId="2" xfId="3" applyNumberFormat="1" applyFont="1" applyFill="1" applyBorder="1" applyAlignment="1">
      <alignment horizontal="right"/>
    </xf>
    <xf numFmtId="0" fontId="35" fillId="8" borderId="8" xfId="3" applyNumberFormat="1" applyFont="1" applyFill="1" applyBorder="1" applyAlignment="1">
      <alignment wrapText="1"/>
    </xf>
    <xf numFmtId="43" fontId="35" fillId="8" borderId="47" xfId="3" applyFont="1" applyFill="1" applyBorder="1" applyAlignment="1">
      <alignment horizontal="right"/>
    </xf>
    <xf numFmtId="166" fontId="29" fillId="8" borderId="2" xfId="3" applyNumberFormat="1" applyFont="1" applyFill="1" applyBorder="1"/>
    <xf numFmtId="43" fontId="29" fillId="8" borderId="2" xfId="3" applyFont="1" applyFill="1" applyBorder="1" applyAlignment="1">
      <alignment horizontal="left" indent="1"/>
    </xf>
    <xf numFmtId="43" fontId="29" fillId="8" borderId="65" xfId="3" applyFont="1" applyFill="1" applyBorder="1" applyAlignment="1">
      <alignment horizontal="right"/>
    </xf>
    <xf numFmtId="43" fontId="33" fillId="8" borderId="48" xfId="3" applyFont="1" applyFill="1" applyBorder="1" applyAlignment="1">
      <alignment horizontal="right" wrapText="1"/>
    </xf>
    <xf numFmtId="43" fontId="0" fillId="22" borderId="0" xfId="3" applyFont="1" applyFill="1"/>
    <xf numFmtId="43" fontId="5" fillId="22" borderId="0" xfId="3" applyFont="1" applyFill="1"/>
    <xf numFmtId="43" fontId="6" fillId="22" borderId="0" xfId="3" applyFont="1" applyFill="1"/>
    <xf numFmtId="43" fontId="27" fillId="22" borderId="0" xfId="3" applyFont="1" applyFill="1"/>
    <xf numFmtId="43" fontId="27" fillId="22" borderId="0" xfId="3" quotePrefix="1" applyFont="1" applyFill="1"/>
    <xf numFmtId="43" fontId="30" fillId="22" borderId="0" xfId="3" quotePrefix="1" applyFont="1" applyFill="1"/>
    <xf numFmtId="43" fontId="19" fillId="22" borderId="0" xfId="3" applyFont="1" applyFill="1"/>
    <xf numFmtId="0" fontId="30" fillId="22" borderId="0" xfId="3" quotePrefix="1" applyNumberFormat="1" applyFont="1" applyFill="1" applyAlignment="1">
      <alignment horizontal="left"/>
    </xf>
    <xf numFmtId="43" fontId="9" fillId="22" borderId="0" xfId="3" applyFont="1" applyFill="1"/>
    <xf numFmtId="43" fontId="35" fillId="22" borderId="0" xfId="3" applyFont="1" applyFill="1"/>
    <xf numFmtId="43" fontId="20" fillId="22" borderId="0" xfId="3" applyFont="1" applyFill="1"/>
    <xf numFmtId="43" fontId="21" fillId="22" borderId="0" xfId="3" applyFont="1" applyFill="1"/>
    <xf numFmtId="43" fontId="25" fillId="22" borderId="0" xfId="3" applyFont="1" applyFill="1"/>
    <xf numFmtId="43" fontId="16" fillId="22" borderId="0" xfId="3" applyFont="1" applyFill="1"/>
    <xf numFmtId="0" fontId="30" fillId="22" borderId="0" xfId="3" quotePrefix="1" applyNumberFormat="1" applyFont="1" applyFill="1"/>
    <xf numFmtId="0" fontId="19" fillId="22" borderId="0" xfId="3" applyNumberFormat="1" applyFont="1" applyFill="1"/>
    <xf numFmtId="0" fontId="6" fillId="0" borderId="0" xfId="2"/>
    <xf numFmtId="43" fontId="26" fillId="24" borderId="42" xfId="3" applyFont="1" applyFill="1" applyBorder="1" applyAlignment="1"/>
    <xf numFmtId="43" fontId="26" fillId="24" borderId="43" xfId="3" applyFont="1" applyFill="1" applyBorder="1" applyAlignment="1"/>
    <xf numFmtId="0" fontId="4" fillId="14" borderId="46" xfId="0" applyFont="1" applyFill="1" applyBorder="1"/>
    <xf numFmtId="0" fontId="4" fillId="14" borderId="62" xfId="0" applyFont="1" applyFill="1" applyBorder="1"/>
    <xf numFmtId="0" fontId="4" fillId="14" borderId="47" xfId="0" applyFont="1" applyFill="1" applyBorder="1"/>
    <xf numFmtId="9" fontId="4" fillId="14" borderId="47" xfId="1" applyFont="1" applyFill="1" applyBorder="1"/>
    <xf numFmtId="0" fontId="4" fillId="14" borderId="48" xfId="0" applyFont="1" applyFill="1" applyBorder="1"/>
    <xf numFmtId="9" fontId="4" fillId="14" borderId="48" xfId="1" applyFont="1" applyFill="1" applyBorder="1"/>
    <xf numFmtId="9" fontId="4" fillId="14" borderId="91" xfId="1" applyFont="1" applyFill="1" applyBorder="1"/>
    <xf numFmtId="9" fontId="4" fillId="14" borderId="6" xfId="1" applyFont="1" applyFill="1" applyBorder="1"/>
    <xf numFmtId="9" fontId="4" fillId="14" borderId="7" xfId="1" applyFont="1" applyFill="1" applyBorder="1"/>
    <xf numFmtId="9" fontId="4" fillId="14" borderId="89" xfId="1" applyFont="1" applyFill="1" applyBorder="1"/>
    <xf numFmtId="9" fontId="4" fillId="14" borderId="2" xfId="1" applyFont="1" applyFill="1" applyBorder="1"/>
    <xf numFmtId="9" fontId="4" fillId="14" borderId="8" xfId="1" applyFont="1" applyFill="1" applyBorder="1"/>
    <xf numFmtId="9" fontId="4" fillId="14" borderId="9" xfId="1" applyFont="1" applyFill="1" applyBorder="1"/>
    <xf numFmtId="9" fontId="4" fillId="14" borderId="10" xfId="1" applyFont="1" applyFill="1" applyBorder="1"/>
    <xf numFmtId="9" fontId="4" fillId="14" borderId="11" xfId="1" applyFont="1" applyFill="1" applyBorder="1"/>
    <xf numFmtId="166" fontId="4" fillId="14" borderId="47" xfId="3" applyNumberFormat="1" applyFont="1" applyFill="1" applyBorder="1"/>
    <xf numFmtId="3" fontId="4" fillId="13" borderId="2" xfId="2" applyNumberFormat="1" applyFont="1" applyFill="1" applyBorder="1" applyAlignment="1">
      <alignment horizontal="right" wrapText="1"/>
    </xf>
    <xf numFmtId="3" fontId="4" fillId="13" borderId="62" xfId="2" applyNumberFormat="1" applyFont="1" applyFill="1" applyBorder="1" applyAlignment="1">
      <alignment horizontal="left" wrapText="1"/>
    </xf>
    <xf numFmtId="3" fontId="4" fillId="13" borderId="47" xfId="2" applyNumberFormat="1" applyFont="1" applyFill="1" applyBorder="1" applyAlignment="1">
      <alignment horizontal="left" wrapText="1"/>
    </xf>
    <xf numFmtId="3" fontId="4" fillId="13" borderId="48" xfId="2" applyNumberFormat="1" applyFont="1" applyFill="1" applyBorder="1" applyAlignment="1">
      <alignment horizontal="left" wrapText="1"/>
    </xf>
    <xf numFmtId="3" fontId="4" fillId="13" borderId="62" xfId="2" applyNumberFormat="1" applyFont="1" applyFill="1" applyBorder="1" applyAlignment="1">
      <alignment horizontal="right" wrapText="1"/>
    </xf>
    <xf numFmtId="3" fontId="4" fillId="13" borderId="47" xfId="2" applyNumberFormat="1" applyFont="1" applyFill="1" applyBorder="1" applyAlignment="1">
      <alignment horizontal="right" wrapText="1"/>
    </xf>
    <xf numFmtId="3" fontId="4" fillId="13" borderId="48" xfId="2" applyNumberFormat="1" applyFont="1" applyFill="1" applyBorder="1" applyAlignment="1">
      <alignment horizontal="right" wrapText="1"/>
    </xf>
    <xf numFmtId="3" fontId="4" fillId="13" borderId="91" xfId="2" applyNumberFormat="1" applyFont="1" applyFill="1" applyBorder="1" applyAlignment="1">
      <alignment horizontal="right" wrapText="1"/>
    </xf>
    <xf numFmtId="3" fontId="4" fillId="13" borderId="6" xfId="2" applyNumberFormat="1" applyFont="1" applyFill="1" applyBorder="1" applyAlignment="1">
      <alignment horizontal="right" wrapText="1"/>
    </xf>
    <xf numFmtId="3" fontId="4" fillId="13" borderId="7" xfId="2" applyNumberFormat="1" applyFont="1" applyFill="1" applyBorder="1" applyAlignment="1">
      <alignment horizontal="right" wrapText="1"/>
    </xf>
    <xf numFmtId="3" fontId="4" fillId="13" borderId="89" xfId="2" applyNumberFormat="1" applyFont="1" applyFill="1" applyBorder="1" applyAlignment="1">
      <alignment horizontal="right" wrapText="1"/>
    </xf>
    <xf numFmtId="3" fontId="4" fillId="13" borderId="8" xfId="2" applyNumberFormat="1" applyFont="1" applyFill="1" applyBorder="1" applyAlignment="1">
      <alignment horizontal="right" wrapText="1"/>
    </xf>
    <xf numFmtId="3" fontId="4" fillId="13" borderId="9" xfId="2" applyNumberFormat="1" applyFont="1" applyFill="1" applyBorder="1" applyAlignment="1">
      <alignment horizontal="right" wrapText="1"/>
    </xf>
    <xf numFmtId="3" fontId="4" fillId="13" borderId="10" xfId="2" applyNumberFormat="1" applyFont="1" applyFill="1" applyBorder="1" applyAlignment="1">
      <alignment horizontal="right" wrapText="1"/>
    </xf>
    <xf numFmtId="3" fontId="4" fillId="13" borderId="11" xfId="2" applyNumberFormat="1" applyFont="1" applyFill="1" applyBorder="1" applyAlignment="1">
      <alignment horizontal="right" wrapText="1"/>
    </xf>
    <xf numFmtId="165" fontId="11" fillId="25" borderId="57" xfId="3" applyNumberFormat="1" applyFont="1" applyFill="1" applyBorder="1" applyAlignment="1">
      <alignment horizontal="center"/>
    </xf>
    <xf numFmtId="165" fontId="14" fillId="6" borderId="34" xfId="3" applyNumberFormat="1" applyFont="1" applyFill="1" applyBorder="1" applyAlignment="1">
      <alignment horizontal="right"/>
    </xf>
    <xf numFmtId="165" fontId="10" fillId="6" borderId="97" xfId="7" applyNumberFormat="1" applyFill="1" applyBorder="1" applyAlignment="1"/>
    <xf numFmtId="165" fontId="10" fillId="6" borderId="97" xfId="7" applyNumberFormat="1" applyFill="1" applyBorder="1" applyAlignment="1">
      <alignment horizontal="right"/>
    </xf>
    <xf numFmtId="166" fontId="11" fillId="6" borderId="95" xfId="7" applyNumberFormat="1" applyFont="1" applyFill="1" applyBorder="1" applyAlignment="1"/>
    <xf numFmtId="166" fontId="11" fillId="6" borderId="96" xfId="7" applyNumberFormat="1" applyFont="1" applyFill="1" applyBorder="1" applyAlignment="1"/>
    <xf numFmtId="165" fontId="0" fillId="22" borderId="0" xfId="3" applyNumberFormat="1" applyFont="1" applyFill="1"/>
    <xf numFmtId="165" fontId="11" fillId="25" borderId="56" xfId="3" applyNumberFormat="1" applyFont="1" applyFill="1" applyBorder="1" applyAlignment="1">
      <alignment horizontal="center"/>
    </xf>
    <xf numFmtId="165" fontId="11" fillId="25" borderId="92" xfId="3" applyNumberFormat="1" applyFont="1" applyFill="1" applyBorder="1" applyAlignment="1">
      <alignment horizontal="center"/>
    </xf>
    <xf numFmtId="165" fontId="14" fillId="6" borderId="86" xfId="3" applyNumberFormat="1" applyFont="1" applyFill="1" applyBorder="1" applyAlignment="1">
      <alignment horizontal="right"/>
    </xf>
    <xf numFmtId="165" fontId="14" fillId="6" borderId="0" xfId="3" applyNumberFormat="1" applyFont="1" applyFill="1" applyBorder="1" applyAlignment="1">
      <alignment horizontal="right"/>
    </xf>
    <xf numFmtId="166" fontId="14" fillId="17" borderId="13" xfId="3" applyNumberFormat="1" applyFont="1" applyFill="1" applyBorder="1" applyAlignment="1">
      <alignment horizontal="right"/>
    </xf>
    <xf numFmtId="166" fontId="14" fillId="17" borderId="0" xfId="3" applyNumberFormat="1" applyFont="1" applyFill="1" applyBorder="1" applyAlignment="1">
      <alignment horizontal="right"/>
    </xf>
    <xf numFmtId="166" fontId="14" fillId="17" borderId="94" xfId="3" applyNumberFormat="1" applyFont="1" applyFill="1" applyBorder="1" applyAlignment="1">
      <alignment horizontal="right"/>
    </xf>
    <xf numFmtId="165" fontId="14" fillId="6" borderId="46" xfId="3" applyNumberFormat="1" applyFont="1" applyFill="1" applyBorder="1" applyAlignment="1">
      <alignment horizontal="right"/>
    </xf>
    <xf numFmtId="165" fontId="14" fillId="6" borderId="99" xfId="3" applyNumberFormat="1" applyFont="1" applyFill="1" applyBorder="1" applyAlignment="1">
      <alignment horizontal="right"/>
    </xf>
    <xf numFmtId="166" fontId="14" fillId="17" borderId="100" xfId="3" applyNumberFormat="1" applyFont="1" applyFill="1" applyBorder="1" applyAlignment="1">
      <alignment horizontal="right"/>
    </xf>
    <xf numFmtId="166" fontId="14" fillId="17" borderId="99" xfId="3" applyNumberFormat="1" applyFont="1" applyFill="1" applyBorder="1" applyAlignment="1">
      <alignment horizontal="right"/>
    </xf>
    <xf numFmtId="166" fontId="14" fillId="17" borderId="101" xfId="3" applyNumberFormat="1" applyFont="1" applyFill="1" applyBorder="1" applyAlignment="1">
      <alignment horizontal="right"/>
    </xf>
    <xf numFmtId="165" fontId="14" fillId="6" borderId="98" xfId="3" applyNumberFormat="1" applyFont="1" applyFill="1" applyBorder="1" applyAlignment="1">
      <alignment horizontal="right"/>
    </xf>
    <xf numFmtId="165" fontId="14" fillId="6" borderId="102" xfId="3" applyNumberFormat="1" applyFont="1" applyFill="1" applyBorder="1" applyAlignment="1">
      <alignment horizontal="right"/>
    </xf>
    <xf numFmtId="166" fontId="14" fillId="17" borderId="103" xfId="3" applyNumberFormat="1" applyFont="1" applyFill="1" applyBorder="1" applyAlignment="1">
      <alignment horizontal="right"/>
    </xf>
    <xf numFmtId="166" fontId="14" fillId="17" borderId="102" xfId="3" applyNumberFormat="1" applyFont="1" applyFill="1" applyBorder="1" applyAlignment="1">
      <alignment horizontal="right"/>
    </xf>
    <xf numFmtId="166" fontId="14" fillId="17" borderId="104" xfId="3" applyNumberFormat="1" applyFont="1" applyFill="1" applyBorder="1" applyAlignment="1">
      <alignment horizontal="right"/>
    </xf>
    <xf numFmtId="43" fontId="25" fillId="26" borderId="62" xfId="3" applyFont="1" applyFill="1" applyBorder="1"/>
    <xf numFmtId="43" fontId="25" fillId="26" borderId="67" xfId="3" applyFont="1" applyFill="1" applyBorder="1"/>
    <xf numFmtId="43" fontId="25" fillId="26" borderId="6" xfId="3" applyFont="1" applyFill="1" applyBorder="1"/>
    <xf numFmtId="0" fontId="25" fillId="26" borderId="7" xfId="3" applyNumberFormat="1" applyFont="1" applyFill="1" applyBorder="1"/>
    <xf numFmtId="43" fontId="27" fillId="18" borderId="47" xfId="3" applyFont="1" applyFill="1" applyBorder="1" applyAlignment="1">
      <alignment horizontal="right"/>
    </xf>
    <xf numFmtId="43" fontId="29" fillId="18" borderId="44" xfId="3" applyFont="1" applyFill="1" applyBorder="1" applyAlignment="1">
      <alignment wrapText="1"/>
    </xf>
    <xf numFmtId="43" fontId="27" fillId="18" borderId="2" xfId="3" applyFont="1" applyFill="1" applyBorder="1"/>
    <xf numFmtId="166" fontId="29" fillId="18" borderId="2" xfId="3" applyNumberFormat="1" applyFont="1" applyFill="1" applyBorder="1"/>
    <xf numFmtId="0" fontId="27" fillId="18" borderId="8" xfId="3" applyNumberFormat="1" applyFont="1" applyFill="1" applyBorder="1" applyAlignment="1">
      <alignment wrapText="1"/>
    </xf>
    <xf numFmtId="43" fontId="25" fillId="18" borderId="48" xfId="3" applyFont="1" applyFill="1" applyBorder="1" applyAlignment="1">
      <alignment horizontal="right"/>
    </xf>
    <xf numFmtId="43" fontId="33" fillId="18" borderId="45" xfId="3" applyFont="1" applyFill="1" applyBorder="1" applyAlignment="1">
      <alignment wrapText="1"/>
    </xf>
    <xf numFmtId="43" fontId="27" fillId="18" borderId="10" xfId="3" applyFont="1" applyFill="1" applyBorder="1"/>
    <xf numFmtId="166" fontId="33" fillId="18" borderId="10" xfId="3" applyNumberFormat="1" applyFont="1" applyFill="1" applyBorder="1"/>
    <xf numFmtId="0" fontId="27" fillId="18" borderId="11" xfId="3" applyNumberFormat="1" applyFont="1" applyFill="1" applyBorder="1"/>
    <xf numFmtId="165" fontId="15" fillId="18" borderId="47" xfId="3" applyNumberFormat="1" applyFont="1" applyFill="1" applyBorder="1" applyAlignment="1">
      <alignment horizontal="right"/>
    </xf>
    <xf numFmtId="165" fontId="17" fillId="18" borderId="70" xfId="3" applyNumberFormat="1" applyFont="1" applyFill="1" applyBorder="1" applyAlignment="1">
      <alignment horizontal="right" wrapText="1"/>
    </xf>
    <xf numFmtId="166" fontId="9" fillId="18" borderId="44" xfId="3" applyNumberFormat="1" applyFont="1" applyFill="1" applyBorder="1"/>
    <xf numFmtId="166" fontId="9" fillId="18" borderId="2" xfId="3" applyNumberFormat="1" applyFont="1" applyFill="1" applyBorder="1"/>
    <xf numFmtId="166" fontId="9" fillId="18" borderId="8" xfId="3" applyNumberFormat="1" applyFont="1" applyFill="1" applyBorder="1"/>
    <xf numFmtId="165" fontId="15" fillId="28" borderId="47" xfId="3" applyNumberFormat="1" applyFont="1" applyFill="1" applyBorder="1" applyAlignment="1">
      <alignment horizontal="right"/>
    </xf>
    <xf numFmtId="165" fontId="17" fillId="28" borderId="70" xfId="3" applyNumberFormat="1" applyFont="1" applyFill="1" applyBorder="1" applyAlignment="1">
      <alignment horizontal="right" wrapText="1"/>
    </xf>
    <xf numFmtId="166" fontId="9" fillId="28" borderId="44" xfId="3" applyNumberFormat="1" applyFont="1" applyFill="1" applyBorder="1"/>
    <xf numFmtId="166" fontId="9" fillId="28" borderId="2" xfId="3" applyNumberFormat="1" applyFont="1" applyFill="1" applyBorder="1"/>
    <xf numFmtId="166" fontId="9" fillId="28" borderId="8" xfId="3" applyNumberFormat="1" applyFont="1" applyFill="1" applyBorder="1"/>
    <xf numFmtId="165" fontId="13" fillId="8" borderId="48" xfId="3" applyNumberFormat="1" applyFont="1" applyFill="1" applyBorder="1" applyAlignment="1">
      <alignment horizontal="right"/>
    </xf>
    <xf numFmtId="165" fontId="17" fillId="8" borderId="71" xfId="3" applyNumberFormat="1" applyFont="1" applyFill="1" applyBorder="1" applyAlignment="1">
      <alignment horizontal="right" wrapText="1"/>
    </xf>
    <xf numFmtId="166" fontId="14" fillId="8" borderId="45" xfId="3" applyNumberFormat="1" applyFont="1" applyFill="1" applyBorder="1"/>
    <xf numFmtId="165" fontId="14" fillId="7" borderId="98" xfId="3" applyNumberFormat="1" applyFont="1" applyFill="1" applyBorder="1" applyAlignment="1">
      <alignment horizontal="right"/>
    </xf>
    <xf numFmtId="166" fontId="14" fillId="7" borderId="103" xfId="3" applyNumberFormat="1" applyFont="1" applyFill="1" applyBorder="1" applyAlignment="1">
      <alignment horizontal="right"/>
    </xf>
    <xf numFmtId="166" fontId="14" fillId="7" borderId="102" xfId="3" applyNumberFormat="1" applyFont="1" applyFill="1" applyBorder="1" applyAlignment="1">
      <alignment horizontal="right"/>
    </xf>
    <xf numFmtId="166" fontId="14" fillId="7" borderId="104" xfId="3" applyNumberFormat="1" applyFont="1" applyFill="1" applyBorder="1" applyAlignment="1">
      <alignment horizontal="right"/>
    </xf>
    <xf numFmtId="165" fontId="14" fillId="7" borderId="46" xfId="3" applyNumberFormat="1" applyFont="1" applyFill="1" applyBorder="1" applyAlignment="1">
      <alignment horizontal="right"/>
    </xf>
    <xf numFmtId="166" fontId="14" fillId="7" borderId="100" xfId="3" applyNumberFormat="1" applyFont="1" applyFill="1" applyBorder="1" applyAlignment="1">
      <alignment horizontal="right"/>
    </xf>
    <xf numFmtId="166" fontId="14" fillId="7" borderId="99" xfId="3" applyNumberFormat="1" applyFont="1" applyFill="1" applyBorder="1" applyAlignment="1">
      <alignment horizontal="right"/>
    </xf>
    <xf numFmtId="166" fontId="14" fillId="7" borderId="101" xfId="3" applyNumberFormat="1" applyFont="1" applyFill="1" applyBorder="1" applyAlignment="1">
      <alignment horizontal="right"/>
    </xf>
    <xf numFmtId="165" fontId="14" fillId="18" borderId="98" xfId="3" applyNumberFormat="1" applyFont="1" applyFill="1" applyBorder="1" applyAlignment="1">
      <alignment horizontal="right"/>
    </xf>
    <xf numFmtId="166" fontId="14" fillId="18" borderId="103" xfId="3" applyNumberFormat="1" applyFont="1" applyFill="1" applyBorder="1" applyAlignment="1">
      <alignment horizontal="right"/>
    </xf>
    <xf numFmtId="166" fontId="14" fillId="18" borderId="102" xfId="3" applyNumberFormat="1" applyFont="1" applyFill="1" applyBorder="1" applyAlignment="1">
      <alignment horizontal="right"/>
    </xf>
    <xf numFmtId="166" fontId="14" fillId="18" borderId="104" xfId="3" applyNumberFormat="1" applyFont="1" applyFill="1" applyBorder="1" applyAlignment="1">
      <alignment horizontal="right"/>
    </xf>
    <xf numFmtId="165" fontId="14" fillId="18" borderId="46" xfId="3" applyNumberFormat="1" applyFont="1" applyFill="1" applyBorder="1" applyAlignment="1">
      <alignment horizontal="right"/>
    </xf>
    <xf numFmtId="166" fontId="14" fillId="18" borderId="100" xfId="3" applyNumberFormat="1" applyFont="1" applyFill="1" applyBorder="1" applyAlignment="1">
      <alignment horizontal="right"/>
    </xf>
    <xf numFmtId="166" fontId="14" fillId="18" borderId="99" xfId="3" applyNumberFormat="1" applyFont="1" applyFill="1" applyBorder="1" applyAlignment="1">
      <alignment horizontal="right"/>
    </xf>
    <xf numFmtId="166" fontId="14" fillId="18" borderId="101" xfId="3" applyNumberFormat="1" applyFont="1" applyFill="1" applyBorder="1" applyAlignment="1">
      <alignment horizontal="right"/>
    </xf>
    <xf numFmtId="165" fontId="14" fillId="18" borderId="0" xfId="3" applyNumberFormat="1" applyFont="1" applyFill="1" applyBorder="1" applyAlignment="1">
      <alignment horizontal="right" wrapText="1"/>
    </xf>
    <xf numFmtId="165" fontId="14" fillId="18" borderId="34" xfId="3" applyNumberFormat="1" applyFont="1" applyFill="1" applyBorder="1" applyAlignment="1">
      <alignment horizontal="right" wrapText="1"/>
    </xf>
    <xf numFmtId="165" fontId="14" fillId="28" borderId="98" xfId="3" applyNumberFormat="1" applyFont="1" applyFill="1" applyBorder="1" applyAlignment="1">
      <alignment horizontal="right"/>
    </xf>
    <xf numFmtId="166" fontId="14" fillId="28" borderId="103" xfId="3" applyNumberFormat="1" applyFont="1" applyFill="1" applyBorder="1" applyAlignment="1">
      <alignment horizontal="right"/>
    </xf>
    <xf numFmtId="166" fontId="14" fillId="28" borderId="102" xfId="3" applyNumberFormat="1" applyFont="1" applyFill="1" applyBorder="1" applyAlignment="1">
      <alignment horizontal="right"/>
    </xf>
    <xf numFmtId="166" fontId="14" fillId="28" borderId="104" xfId="3" applyNumberFormat="1" applyFont="1" applyFill="1" applyBorder="1" applyAlignment="1">
      <alignment horizontal="right"/>
    </xf>
    <xf numFmtId="165" fontId="14" fillId="28" borderId="46" xfId="3" applyNumberFormat="1" applyFont="1" applyFill="1" applyBorder="1" applyAlignment="1">
      <alignment horizontal="right"/>
    </xf>
    <xf numFmtId="166" fontId="14" fillId="28" borderId="100" xfId="3" applyNumberFormat="1" applyFont="1" applyFill="1" applyBorder="1" applyAlignment="1">
      <alignment horizontal="right"/>
    </xf>
    <xf numFmtId="166" fontId="14" fillId="28" borderId="99" xfId="3" applyNumberFormat="1" applyFont="1" applyFill="1" applyBorder="1" applyAlignment="1">
      <alignment horizontal="right"/>
    </xf>
    <xf numFmtId="166" fontId="14" fillId="28" borderId="101" xfId="3" applyNumberFormat="1" applyFont="1" applyFill="1" applyBorder="1" applyAlignment="1">
      <alignment horizontal="right"/>
    </xf>
    <xf numFmtId="0" fontId="42" fillId="22" borderId="0" xfId="0" applyFont="1" applyFill="1"/>
    <xf numFmtId="0" fontId="42" fillId="22" borderId="0" xfId="0" applyFont="1" applyFill="1" applyAlignment="1">
      <alignment horizontal="right" vertical="center"/>
    </xf>
    <xf numFmtId="166" fontId="11" fillId="8" borderId="95" xfId="7" applyNumberFormat="1" applyFont="1" applyFill="1" applyBorder="1" applyAlignment="1"/>
    <xf numFmtId="166" fontId="11" fillId="8" borderId="96" xfId="7" applyNumberFormat="1" applyFont="1" applyFill="1" applyBorder="1" applyAlignment="1"/>
    <xf numFmtId="165" fontId="14" fillId="8" borderId="98" xfId="3" applyNumberFormat="1" applyFont="1" applyFill="1" applyBorder="1" applyAlignment="1">
      <alignment horizontal="right"/>
    </xf>
    <xf numFmtId="166" fontId="14" fillId="8" borderId="103" xfId="3" applyNumberFormat="1" applyFont="1" applyFill="1" applyBorder="1" applyAlignment="1">
      <alignment horizontal="right"/>
    </xf>
    <xf numFmtId="166" fontId="14" fillId="8" borderId="102" xfId="3" applyNumberFormat="1" applyFont="1" applyFill="1" applyBorder="1" applyAlignment="1">
      <alignment horizontal="right"/>
    </xf>
    <xf numFmtId="166" fontId="14" fillId="8" borderId="104" xfId="3" applyNumberFormat="1" applyFont="1" applyFill="1" applyBorder="1" applyAlignment="1">
      <alignment horizontal="right"/>
    </xf>
    <xf numFmtId="165" fontId="14" fillId="8" borderId="46" xfId="3" applyNumberFormat="1" applyFont="1" applyFill="1" applyBorder="1" applyAlignment="1">
      <alignment horizontal="right"/>
    </xf>
    <xf numFmtId="166" fontId="14" fillId="8" borderId="100" xfId="3" applyNumberFormat="1" applyFont="1" applyFill="1" applyBorder="1" applyAlignment="1">
      <alignment horizontal="right"/>
    </xf>
    <xf numFmtId="166" fontId="14" fillId="8" borderId="99" xfId="3" applyNumberFormat="1" applyFont="1" applyFill="1" applyBorder="1" applyAlignment="1">
      <alignment horizontal="right"/>
    </xf>
    <xf numFmtId="166" fontId="14" fillId="8" borderId="101" xfId="3" applyNumberFormat="1" applyFont="1" applyFill="1" applyBorder="1" applyAlignment="1">
      <alignment horizontal="right"/>
    </xf>
    <xf numFmtId="165" fontId="22" fillId="21" borderId="63" xfId="3" applyNumberFormat="1" applyFont="1" applyFill="1" applyBorder="1"/>
    <xf numFmtId="165" fontId="22" fillId="21" borderId="63" xfId="3" applyNumberFormat="1" applyFont="1" applyFill="1" applyBorder="1" applyAlignment="1">
      <alignment horizontal="right"/>
    </xf>
    <xf numFmtId="165" fontId="22" fillId="21" borderId="31" xfId="3" applyNumberFormat="1" applyFont="1" applyFill="1" applyBorder="1" applyAlignment="1">
      <alignment horizontal="right"/>
    </xf>
    <xf numFmtId="165" fontId="22" fillId="21" borderId="30" xfId="3" applyNumberFormat="1" applyFont="1" applyFill="1" applyBorder="1" applyAlignment="1">
      <alignment horizontal="right"/>
    </xf>
    <xf numFmtId="165" fontId="22" fillId="21" borderId="38" xfId="3" applyNumberFormat="1" applyFont="1" applyFill="1" applyBorder="1" applyAlignment="1">
      <alignment horizontal="right"/>
    </xf>
    <xf numFmtId="166" fontId="14" fillId="8" borderId="55" xfId="3" applyNumberFormat="1" applyFont="1" applyFill="1" applyBorder="1"/>
    <xf numFmtId="165" fontId="43" fillId="8" borderId="87" xfId="3" applyNumberFormat="1" applyFont="1" applyFill="1" applyBorder="1" applyAlignment="1">
      <alignment horizontal="right"/>
    </xf>
    <xf numFmtId="165" fontId="44" fillId="8" borderId="87" xfId="3" applyNumberFormat="1" applyFont="1" applyFill="1" applyBorder="1" applyAlignment="1">
      <alignment horizontal="right" wrapText="1"/>
    </xf>
    <xf numFmtId="43" fontId="45" fillId="8" borderId="87" xfId="3" applyFont="1" applyFill="1" applyBorder="1"/>
    <xf numFmtId="165" fontId="39" fillId="7" borderId="64" xfId="3" applyNumberFormat="1" applyFont="1" applyFill="1" applyBorder="1" applyAlignment="1">
      <alignment horizontal="right"/>
    </xf>
    <xf numFmtId="166" fontId="32" fillId="7" borderId="56" xfId="3" applyNumberFormat="1" applyFont="1" applyFill="1" applyBorder="1"/>
    <xf numFmtId="166" fontId="32" fillId="7" borderId="57" xfId="3" applyNumberFormat="1" applyFont="1" applyFill="1" applyBorder="1"/>
    <xf numFmtId="166" fontId="32" fillId="7" borderId="92" xfId="3" applyNumberFormat="1" applyFont="1" applyFill="1" applyBorder="1"/>
    <xf numFmtId="166" fontId="11" fillId="6" borderId="23" xfId="7" applyNumberFormat="1" applyFont="1" applyFill="1" applyAlignment="1"/>
    <xf numFmtId="166" fontId="11" fillId="8" borderId="23" xfId="7" applyNumberFormat="1" applyFont="1" applyFill="1" applyAlignment="1"/>
    <xf numFmtId="165" fontId="14" fillId="8" borderId="64" xfId="3" applyNumberFormat="1" applyFont="1" applyFill="1" applyBorder="1" applyAlignment="1">
      <alignment horizontal="right"/>
    </xf>
    <xf numFmtId="166" fontId="14" fillId="8" borderId="56" xfId="3" applyNumberFormat="1" applyFont="1" applyFill="1" applyBorder="1" applyAlignment="1">
      <alignment horizontal="right"/>
    </xf>
    <xf numFmtId="166" fontId="14" fillId="8" borderId="57" xfId="3" applyNumberFormat="1" applyFont="1" applyFill="1" applyBorder="1" applyAlignment="1">
      <alignment horizontal="right"/>
    </xf>
    <xf numFmtId="166" fontId="14" fillId="8" borderId="92" xfId="3" applyNumberFormat="1" applyFont="1" applyFill="1" applyBorder="1" applyAlignment="1">
      <alignment horizontal="right"/>
    </xf>
    <xf numFmtId="165" fontId="13" fillId="8" borderId="46" xfId="3" applyNumberFormat="1" applyFont="1" applyFill="1" applyBorder="1" applyAlignment="1">
      <alignment horizontal="left"/>
    </xf>
    <xf numFmtId="165" fontId="13" fillId="28" borderId="62" xfId="3" applyNumberFormat="1" applyFont="1" applyFill="1" applyBorder="1" applyAlignment="1">
      <alignment horizontal="left"/>
    </xf>
    <xf numFmtId="166" fontId="11" fillId="28" borderId="106" xfId="7" applyNumberFormat="1" applyFont="1" applyFill="1" applyBorder="1" applyAlignment="1"/>
    <xf numFmtId="166" fontId="11" fillId="28" borderId="107" xfId="7" applyNumberFormat="1" applyFont="1" applyFill="1" applyBorder="1" applyAlignment="1"/>
    <xf numFmtId="166" fontId="11" fillId="28" borderId="108" xfId="7" applyNumberFormat="1" applyFont="1" applyFill="1" applyBorder="1" applyAlignment="1"/>
    <xf numFmtId="165" fontId="14" fillId="28" borderId="64" xfId="3" applyNumberFormat="1" applyFont="1" applyFill="1" applyBorder="1" applyAlignment="1">
      <alignment horizontal="right"/>
    </xf>
    <xf numFmtId="166" fontId="14" fillId="28" borderId="56" xfId="3" applyNumberFormat="1" applyFont="1" applyFill="1" applyBorder="1" applyAlignment="1">
      <alignment horizontal="right"/>
    </xf>
    <xf numFmtId="166" fontId="14" fillId="28" borderId="57" xfId="3" applyNumberFormat="1" applyFont="1" applyFill="1" applyBorder="1" applyAlignment="1">
      <alignment horizontal="right"/>
    </xf>
    <xf numFmtId="166" fontId="14" fillId="28" borderId="92" xfId="3" applyNumberFormat="1" applyFont="1" applyFill="1" applyBorder="1" applyAlignment="1">
      <alignment horizontal="right"/>
    </xf>
    <xf numFmtId="165" fontId="15" fillId="7" borderId="62" xfId="3" applyNumberFormat="1" applyFont="1" applyFill="1" applyBorder="1" applyAlignment="1">
      <alignment horizontal="left"/>
    </xf>
    <xf numFmtId="166" fontId="11" fillId="7" borderId="106" xfId="7" applyNumberFormat="1" applyFont="1" applyFill="1" applyBorder="1" applyAlignment="1"/>
    <xf numFmtId="166" fontId="11" fillId="7" borderId="107" xfId="7" applyNumberFormat="1" applyFont="1" applyFill="1" applyBorder="1" applyAlignment="1"/>
    <xf numFmtId="166" fontId="11" fillId="7" borderId="108" xfId="7" applyNumberFormat="1" applyFont="1" applyFill="1" applyBorder="1" applyAlignment="1"/>
    <xf numFmtId="165" fontId="14" fillId="7" borderId="64" xfId="3" applyNumberFormat="1" applyFont="1" applyFill="1" applyBorder="1" applyAlignment="1">
      <alignment horizontal="right"/>
    </xf>
    <xf numFmtId="166" fontId="14" fillId="7" borderId="56" xfId="3" applyNumberFormat="1" applyFont="1" applyFill="1" applyBorder="1" applyAlignment="1">
      <alignment horizontal="right"/>
    </xf>
    <xf numFmtId="166" fontId="14" fillId="7" borderId="57" xfId="3" applyNumberFormat="1" applyFont="1" applyFill="1" applyBorder="1" applyAlignment="1">
      <alignment horizontal="right"/>
    </xf>
    <xf numFmtId="166" fontId="14" fillId="7" borderId="92" xfId="3" applyNumberFormat="1" applyFont="1" applyFill="1" applyBorder="1" applyAlignment="1">
      <alignment horizontal="right"/>
    </xf>
    <xf numFmtId="165" fontId="15" fillId="18" borderId="62" xfId="3" applyNumberFormat="1" applyFont="1" applyFill="1" applyBorder="1" applyAlignment="1">
      <alignment horizontal="left"/>
    </xf>
    <xf numFmtId="166" fontId="11" fillId="18" borderId="106" xfId="7" applyNumberFormat="1" applyFont="1" applyFill="1" applyBorder="1" applyAlignment="1"/>
    <xf numFmtId="166" fontId="11" fillId="18" borderId="107" xfId="7" applyNumberFormat="1" applyFont="1" applyFill="1" applyBorder="1" applyAlignment="1"/>
    <xf numFmtId="166" fontId="11" fillId="18" borderId="108" xfId="7" applyNumberFormat="1" applyFont="1" applyFill="1" applyBorder="1" applyAlignment="1"/>
    <xf numFmtId="165" fontId="14" fillId="18" borderId="64" xfId="3" applyNumberFormat="1" applyFont="1" applyFill="1" applyBorder="1" applyAlignment="1">
      <alignment horizontal="right"/>
    </xf>
    <xf numFmtId="165" fontId="14" fillId="18" borderId="60" xfId="3" applyNumberFormat="1" applyFont="1" applyFill="1" applyBorder="1" applyAlignment="1">
      <alignment horizontal="right" wrapText="1"/>
    </xf>
    <xf numFmtId="166" fontId="14" fillId="18" borderId="56" xfId="3" applyNumberFormat="1" applyFont="1" applyFill="1" applyBorder="1" applyAlignment="1">
      <alignment horizontal="right"/>
    </xf>
    <xf numFmtId="166" fontId="14" fillId="18" borderId="57" xfId="3" applyNumberFormat="1" applyFont="1" applyFill="1" applyBorder="1" applyAlignment="1">
      <alignment horizontal="right"/>
    </xf>
    <xf numFmtId="166" fontId="14" fillId="18" borderId="92" xfId="3" applyNumberFormat="1" applyFont="1" applyFill="1" applyBorder="1" applyAlignment="1">
      <alignment horizontal="right"/>
    </xf>
    <xf numFmtId="165" fontId="10" fillId="6" borderId="62" xfId="7" applyNumberFormat="1" applyFill="1" applyBorder="1" applyAlignment="1"/>
    <xf numFmtId="165" fontId="41" fillId="6" borderId="105" xfId="7" applyNumberFormat="1" applyFont="1" applyFill="1" applyBorder="1" applyAlignment="1">
      <alignment horizontal="right"/>
    </xf>
    <xf numFmtId="165" fontId="14" fillId="6" borderId="64" xfId="3" applyNumberFormat="1" applyFont="1" applyFill="1" applyBorder="1" applyAlignment="1">
      <alignment horizontal="right"/>
    </xf>
    <xf numFmtId="165" fontId="14" fillId="6" borderId="60" xfId="3" applyNumberFormat="1" applyFont="1" applyFill="1" applyBorder="1" applyAlignment="1">
      <alignment horizontal="right"/>
    </xf>
    <xf numFmtId="166" fontId="14" fillId="17" borderId="56" xfId="3" applyNumberFormat="1" applyFont="1" applyFill="1" applyBorder="1" applyAlignment="1">
      <alignment horizontal="right"/>
    </xf>
    <xf numFmtId="166" fontId="14" fillId="17" borderId="57" xfId="3" applyNumberFormat="1" applyFont="1" applyFill="1" applyBorder="1" applyAlignment="1">
      <alignment horizontal="right"/>
    </xf>
    <xf numFmtId="166" fontId="14" fillId="17" borderId="92" xfId="3" applyNumberFormat="1" applyFont="1" applyFill="1" applyBorder="1" applyAlignment="1">
      <alignment horizontal="right"/>
    </xf>
    <xf numFmtId="166" fontId="11" fillId="6" borderId="106" xfId="7" applyNumberFormat="1" applyFont="1" applyFill="1" applyBorder="1" applyAlignment="1"/>
    <xf numFmtId="166" fontId="11" fillId="6" borderId="107" xfId="7" applyNumberFormat="1" applyFont="1" applyFill="1" applyBorder="1" applyAlignment="1"/>
    <xf numFmtId="166" fontId="11" fillId="6" borderId="108" xfId="7" applyNumberFormat="1" applyFont="1" applyFill="1" applyBorder="1" applyAlignment="1"/>
    <xf numFmtId="165" fontId="0" fillId="22" borderId="0" xfId="3" applyNumberFormat="1" applyFont="1" applyFill="1" applyBorder="1"/>
    <xf numFmtId="0" fontId="22" fillId="29" borderId="0" xfId="5" applyFont="1" applyFill="1" applyBorder="1" applyAlignment="1"/>
    <xf numFmtId="165" fontId="22" fillId="29" borderId="0" xfId="6" applyNumberFormat="1" applyFont="1" applyFill="1" applyBorder="1" applyAlignment="1"/>
    <xf numFmtId="165" fontId="11" fillId="30" borderId="0" xfId="3" applyNumberFormat="1" applyFont="1" applyFill="1" applyBorder="1" applyAlignment="1"/>
    <xf numFmtId="165" fontId="11" fillId="30" borderId="0" xfId="3" applyNumberFormat="1" applyFont="1" applyFill="1" applyBorder="1" applyAlignment="1">
      <alignment horizontal="center"/>
    </xf>
    <xf numFmtId="165" fontId="10" fillId="7" borderId="85" xfId="3" applyNumberFormat="1" applyFont="1" applyFill="1" applyBorder="1"/>
    <xf numFmtId="165" fontId="10" fillId="7" borderId="31" xfId="3" applyNumberFormat="1" applyFont="1" applyFill="1" applyBorder="1"/>
    <xf numFmtId="165" fontId="10" fillId="7" borderId="93" xfId="3" applyNumberFormat="1" applyFont="1" applyFill="1" applyBorder="1"/>
    <xf numFmtId="0" fontId="24" fillId="22" borderId="58" xfId="0" applyFont="1" applyFill="1" applyBorder="1" applyAlignment="1">
      <alignment horizontal="center"/>
    </xf>
    <xf numFmtId="0" fontId="24" fillId="22" borderId="49" xfId="0" applyFont="1" applyFill="1" applyBorder="1" applyAlignment="1">
      <alignment horizontal="center"/>
    </xf>
    <xf numFmtId="0" fontId="24" fillId="22" borderId="43" xfId="0" applyFont="1" applyFill="1" applyBorder="1" applyAlignment="1">
      <alignment horizontal="center"/>
    </xf>
    <xf numFmtId="0" fontId="0" fillId="31" borderId="0" xfId="0" applyFill="1"/>
    <xf numFmtId="0" fontId="0" fillId="32" borderId="0" xfId="0" applyFill="1"/>
    <xf numFmtId="0" fontId="0" fillId="26" borderId="0" xfId="0" applyFill="1"/>
    <xf numFmtId="0" fontId="0" fillId="33" borderId="0" xfId="0" applyFill="1"/>
    <xf numFmtId="0" fontId="0" fillId="7" borderId="0" xfId="0" applyFill="1"/>
    <xf numFmtId="3" fontId="42" fillId="22" borderId="0" xfId="0" applyNumberFormat="1" applyFont="1" applyFill="1"/>
    <xf numFmtId="0" fontId="36" fillId="22" borderId="0" xfId="0" applyFont="1" applyFill="1" applyAlignment="1">
      <alignment horizontal="left" vertical="center" wrapText="1"/>
    </xf>
    <xf numFmtId="0" fontId="0" fillId="22" borderId="0" xfId="0" applyFill="1" applyAlignment="1">
      <alignment horizontal="left" vertical="center"/>
    </xf>
    <xf numFmtId="0" fontId="36" fillId="22" borderId="2" xfId="0" applyFont="1" applyFill="1" applyBorder="1" applyAlignment="1">
      <alignment horizontal="left" vertical="center" wrapText="1"/>
    </xf>
    <xf numFmtId="166" fontId="32" fillId="3" borderId="8" xfId="3" applyNumberFormat="1" applyFont="1" applyFill="1" applyBorder="1"/>
    <xf numFmtId="165" fontId="33" fillId="3" borderId="2" xfId="3" applyNumberFormat="1" applyFont="1" applyFill="1" applyBorder="1" applyAlignment="1">
      <alignment horizontal="right"/>
    </xf>
    <xf numFmtId="0" fontId="26" fillId="12" borderId="42" xfId="0" applyFont="1" applyFill="1" applyBorder="1" applyAlignment="1">
      <alignment vertical="center"/>
    </xf>
    <xf numFmtId="0" fontId="25" fillId="12" borderId="42" xfId="0" applyFont="1" applyFill="1" applyBorder="1" applyAlignment="1">
      <alignment vertical="center"/>
    </xf>
    <xf numFmtId="0" fontId="27" fillId="7" borderId="46" xfId="0" applyFont="1" applyFill="1" applyBorder="1" applyAlignment="1">
      <alignment vertical="center" wrapText="1"/>
    </xf>
    <xf numFmtId="0" fontId="27" fillId="18" borderId="47" xfId="0" applyFont="1" applyFill="1" applyBorder="1" applyAlignment="1">
      <alignment vertical="center" wrapText="1"/>
    </xf>
    <xf numFmtId="0" fontId="27" fillId="8" borderId="47" xfId="0" applyFont="1" applyFill="1" applyBorder="1" applyAlignment="1">
      <alignment vertical="center" wrapText="1"/>
    </xf>
    <xf numFmtId="0" fontId="27" fillId="4" borderId="47" xfId="0" applyFont="1" applyFill="1" applyBorder="1" applyAlignment="1">
      <alignment vertical="center" wrapText="1"/>
    </xf>
    <xf numFmtId="0" fontId="27" fillId="28" borderId="48" xfId="0" applyFont="1" applyFill="1" applyBorder="1" applyAlignment="1">
      <alignment vertical="center" wrapText="1"/>
    </xf>
    <xf numFmtId="0" fontId="24" fillId="12" borderId="16" xfId="2" applyFont="1" applyFill="1" applyBorder="1"/>
    <xf numFmtId="0" fontId="36" fillId="12" borderId="44" xfId="2" applyFont="1" applyFill="1" applyBorder="1"/>
    <xf numFmtId="0" fontId="36" fillId="22" borderId="109" xfId="2" applyFont="1" applyFill="1" applyBorder="1"/>
    <xf numFmtId="0" fontId="36" fillId="22" borderId="110" xfId="2" applyFont="1" applyFill="1" applyBorder="1"/>
    <xf numFmtId="0" fontId="0" fillId="22" borderId="111" xfId="0" applyFill="1" applyBorder="1"/>
    <xf numFmtId="0" fontId="0" fillId="22" borderId="90" xfId="0" applyFill="1" applyBorder="1"/>
    <xf numFmtId="0" fontId="2" fillId="18" borderId="47" xfId="0" applyFont="1" applyFill="1" applyBorder="1" applyAlignment="1">
      <alignment vertical="center" wrapText="1"/>
    </xf>
    <xf numFmtId="0" fontId="2" fillId="8" borderId="47" xfId="0" applyFont="1" applyFill="1" applyBorder="1" applyAlignment="1">
      <alignment vertical="center" wrapText="1"/>
    </xf>
    <xf numFmtId="0" fontId="2" fillId="7" borderId="46" xfId="0" applyFont="1" applyFill="1" applyBorder="1" applyAlignment="1">
      <alignment vertical="center" wrapText="1"/>
    </xf>
    <xf numFmtId="0" fontId="2" fillId="12" borderId="66" xfId="2" applyFont="1" applyFill="1" applyBorder="1" applyAlignment="1">
      <alignment horizontal="left" vertical="top" wrapText="1" indent="11"/>
    </xf>
    <xf numFmtId="0" fontId="2" fillId="12" borderId="42" xfId="2" applyFont="1" applyFill="1" applyBorder="1" applyAlignment="1">
      <alignment horizontal="center" wrapText="1"/>
    </xf>
    <xf numFmtId="0" fontId="2" fillId="12" borderId="62" xfId="2" applyFont="1" applyFill="1" applyBorder="1" applyAlignment="1">
      <alignment horizontal="left" wrapText="1"/>
    </xf>
    <xf numFmtId="0" fontId="2" fillId="12" borderId="47" xfId="2" applyFont="1" applyFill="1" applyBorder="1" applyAlignment="1">
      <alignment horizontal="left" wrapText="1"/>
    </xf>
    <xf numFmtId="0" fontId="47" fillId="12" borderId="63" xfId="2" applyFont="1" applyFill="1" applyBorder="1" applyAlignment="1">
      <alignment horizontal="center"/>
    </xf>
    <xf numFmtId="0" fontId="2" fillId="12" borderId="48" xfId="2" applyFont="1" applyFill="1" applyBorder="1" applyAlignment="1">
      <alignment horizontal="left" wrapText="1"/>
    </xf>
    <xf numFmtId="3" fontId="6" fillId="36" borderId="16" xfId="2" applyNumberFormat="1" applyFill="1" applyBorder="1" applyAlignment="1">
      <alignment horizontal="right" wrapText="1"/>
    </xf>
    <xf numFmtId="43" fontId="11" fillId="6" borderId="62" xfId="3" applyFont="1" applyFill="1" applyBorder="1"/>
    <xf numFmtId="43" fontId="14" fillId="2" borderId="82" xfId="3" applyFont="1" applyFill="1" applyBorder="1" applyAlignment="1">
      <alignment horizontal="right"/>
    </xf>
    <xf numFmtId="43" fontId="14" fillId="2" borderId="47" xfId="3" applyFont="1" applyFill="1" applyBorder="1" applyAlignment="1">
      <alignment horizontal="right"/>
    </xf>
    <xf numFmtId="0" fontId="0" fillId="22" borderId="109" xfId="2" applyFont="1" applyFill="1" applyBorder="1"/>
    <xf numFmtId="0" fontId="0" fillId="22" borderId="110" xfId="2" applyFont="1" applyFill="1" applyBorder="1"/>
    <xf numFmtId="0" fontId="14" fillId="2" borderId="8" xfId="3" applyNumberFormat="1" applyFont="1" applyFill="1" applyBorder="1" applyAlignment="1">
      <alignment vertical="top" wrapText="1"/>
    </xf>
    <xf numFmtId="43" fontId="8" fillId="22" borderId="0" xfId="3" quotePrefix="1" applyFont="1" applyFill="1"/>
    <xf numFmtId="43" fontId="14" fillId="4" borderId="82" xfId="3" applyFont="1" applyFill="1" applyBorder="1" applyAlignment="1">
      <alignment horizontal="right"/>
    </xf>
    <xf numFmtId="43" fontId="50" fillId="5" borderId="61" xfId="3" applyFont="1" applyFill="1" applyBorder="1"/>
    <xf numFmtId="0" fontId="14" fillId="3" borderId="8" xfId="3" applyNumberFormat="1" applyFont="1" applyFill="1" applyBorder="1" applyAlignment="1">
      <alignment wrapText="1"/>
    </xf>
    <xf numFmtId="43" fontId="13" fillId="3" borderId="47" xfId="3" applyFont="1" applyFill="1" applyBorder="1" applyAlignment="1">
      <alignment horizontal="right"/>
    </xf>
    <xf numFmtId="0" fontId="14" fillId="8" borderId="26" xfId="3" applyNumberFormat="1" applyFont="1" applyFill="1" applyBorder="1" applyAlignment="1">
      <alignment wrapText="1"/>
    </xf>
    <xf numFmtId="0" fontId="20" fillId="8" borderId="8" xfId="3" applyNumberFormat="1" applyFont="1" applyFill="1" applyBorder="1" applyAlignment="1">
      <alignment wrapText="1"/>
    </xf>
    <xf numFmtId="0" fontId="14" fillId="8" borderId="8" xfId="3" applyNumberFormat="1" applyFont="1" applyFill="1" applyBorder="1" applyAlignment="1">
      <alignment wrapText="1"/>
    </xf>
    <xf numFmtId="0" fontId="3" fillId="6" borderId="111" xfId="3" applyNumberFormat="1" applyFont="1" applyFill="1" applyBorder="1"/>
    <xf numFmtId="0" fontId="3" fillId="6" borderId="99" xfId="3" applyNumberFormat="1" applyFont="1" applyFill="1" applyBorder="1" applyAlignment="1">
      <alignment horizontal="left"/>
    </xf>
    <xf numFmtId="43" fontId="5" fillId="6" borderId="99" xfId="3" applyFont="1" applyFill="1" applyBorder="1" applyAlignment="1">
      <alignment horizontal="left"/>
    </xf>
    <xf numFmtId="43" fontId="5" fillId="6" borderId="90" xfId="3" applyFont="1" applyFill="1" applyBorder="1"/>
    <xf numFmtId="164" fontId="3" fillId="6" borderId="99" xfId="3" applyNumberFormat="1" applyFont="1" applyFill="1" applyBorder="1" applyAlignment="1">
      <alignment horizontal="left"/>
    </xf>
    <xf numFmtId="0" fontId="3" fillId="6" borderId="99" xfId="3" applyNumberFormat="1" applyFont="1" applyFill="1" applyBorder="1"/>
    <xf numFmtId="43" fontId="3" fillId="6" borderId="99" xfId="3" applyFont="1" applyFill="1" applyBorder="1"/>
    <xf numFmtId="0" fontId="25" fillId="6" borderId="16" xfId="3" applyNumberFormat="1" applyFont="1" applyFill="1" applyBorder="1" applyAlignment="1">
      <alignment wrapText="1"/>
    </xf>
    <xf numFmtId="0" fontId="25" fillId="6" borderId="19" xfId="3" applyNumberFormat="1" applyFont="1" applyFill="1" applyBorder="1" applyAlignment="1">
      <alignment horizontal="left"/>
    </xf>
    <xf numFmtId="43" fontId="9" fillId="6" borderId="19" xfId="3" applyFont="1" applyFill="1" applyBorder="1"/>
    <xf numFmtId="43" fontId="9" fillId="6" borderId="44" xfId="3" applyFont="1" applyFill="1" applyBorder="1"/>
    <xf numFmtId="0" fontId="2" fillId="18" borderId="8" xfId="3" applyNumberFormat="1" applyFont="1" applyFill="1" applyBorder="1" applyAlignment="1">
      <alignment wrapText="1"/>
    </xf>
    <xf numFmtId="165" fontId="10" fillId="37" borderId="69" xfId="7" applyNumberFormat="1" applyFill="1" applyBorder="1" applyAlignment="1">
      <alignment horizontal="right"/>
    </xf>
    <xf numFmtId="165" fontId="10" fillId="37" borderId="37" xfId="7" applyNumberFormat="1" applyFill="1" applyBorder="1"/>
    <xf numFmtId="165" fontId="10" fillId="37" borderId="41" xfId="7" applyNumberFormat="1" applyFill="1" applyBorder="1"/>
    <xf numFmtId="43" fontId="47" fillId="23" borderId="3" xfId="3" applyFont="1" applyFill="1" applyBorder="1"/>
    <xf numFmtId="43" fontId="47" fillId="23" borderId="4" xfId="3" applyFont="1" applyFill="1" applyBorder="1"/>
    <xf numFmtId="43" fontId="47" fillId="23" borderId="14" xfId="3" applyFont="1" applyFill="1" applyBorder="1"/>
    <xf numFmtId="43" fontId="47" fillId="23" borderId="5" xfId="3" applyFont="1" applyFill="1" applyBorder="1"/>
    <xf numFmtId="43" fontId="49" fillId="24" borderId="42" xfId="3" applyFont="1" applyFill="1" applyBorder="1" applyAlignment="1"/>
    <xf numFmtId="165" fontId="41" fillId="18" borderId="105" xfId="7" applyNumberFormat="1" applyFont="1" applyFill="1" applyBorder="1" applyAlignment="1">
      <alignment horizontal="right" wrapText="1"/>
    </xf>
    <xf numFmtId="165" fontId="41" fillId="7" borderId="105" xfId="7" applyNumberFormat="1" applyFont="1" applyFill="1" applyBorder="1" applyAlignment="1">
      <alignment horizontal="right" wrapText="1"/>
    </xf>
    <xf numFmtId="165" fontId="14" fillId="7" borderId="28" xfId="3" applyNumberFormat="1" applyFont="1" applyFill="1" applyBorder="1" applyAlignment="1">
      <alignment horizontal="right" wrapText="1"/>
    </xf>
    <xf numFmtId="165" fontId="14" fillId="7" borderId="29" xfId="3" applyNumberFormat="1" applyFont="1" applyFill="1" applyBorder="1" applyAlignment="1">
      <alignment horizontal="right" wrapText="1"/>
    </xf>
    <xf numFmtId="165" fontId="41" fillId="28" borderId="105" xfId="7" applyNumberFormat="1" applyFont="1" applyFill="1" applyBorder="1" applyAlignment="1">
      <alignment horizontal="right" wrapText="1"/>
    </xf>
    <xf numFmtId="165" fontId="14" fillId="28" borderId="28" xfId="3" applyNumberFormat="1" applyFont="1" applyFill="1" applyBorder="1" applyAlignment="1">
      <alignment horizontal="right" wrapText="1"/>
    </xf>
    <xf numFmtId="165" fontId="14" fillId="28" borderId="29" xfId="3" applyNumberFormat="1" applyFont="1" applyFill="1" applyBorder="1" applyAlignment="1">
      <alignment horizontal="right" wrapText="1"/>
    </xf>
    <xf numFmtId="165" fontId="41" fillId="8" borderId="97" xfId="7" applyNumberFormat="1" applyFont="1" applyFill="1" applyBorder="1" applyAlignment="1">
      <alignment horizontal="right" wrapText="1"/>
    </xf>
    <xf numFmtId="165" fontId="14" fillId="8" borderId="28" xfId="3" applyNumberFormat="1" applyFont="1" applyFill="1" applyBorder="1" applyAlignment="1">
      <alignment horizontal="right" wrapText="1"/>
    </xf>
    <xf numFmtId="165" fontId="14" fillId="8" borderId="29" xfId="3" applyNumberFormat="1" applyFont="1" applyFill="1" applyBorder="1" applyAlignment="1">
      <alignment horizontal="right" wrapText="1"/>
    </xf>
    <xf numFmtId="165" fontId="51" fillId="7" borderId="57" xfId="3" applyNumberFormat="1" applyFont="1" applyFill="1" applyBorder="1" applyAlignment="1">
      <alignment horizontal="right" wrapText="1"/>
    </xf>
    <xf numFmtId="0" fontId="52" fillId="0" borderId="2" xfId="0" applyFont="1" applyBorder="1" applyAlignment="1">
      <alignment vertical="center" wrapText="1"/>
    </xf>
    <xf numFmtId="0" fontId="52" fillId="0" borderId="2" xfId="0" applyFont="1" applyBorder="1" applyAlignment="1">
      <alignment wrapText="1"/>
    </xf>
    <xf numFmtId="43" fontId="2" fillId="22" borderId="0" xfId="3" applyFont="1" applyFill="1"/>
    <xf numFmtId="0" fontId="46" fillId="22" borderId="0" xfId="2" applyFont="1" applyFill="1"/>
    <xf numFmtId="43" fontId="29" fillId="8" borderId="112" xfId="3" applyFont="1" applyFill="1" applyBorder="1" applyAlignment="1">
      <alignment horizontal="right"/>
    </xf>
    <xf numFmtId="43" fontId="29" fillId="8" borderId="113" xfId="3" applyFont="1" applyFill="1" applyBorder="1"/>
    <xf numFmtId="43" fontId="29" fillId="8" borderId="114" xfId="3" applyFont="1" applyFill="1" applyBorder="1"/>
    <xf numFmtId="166" fontId="29" fillId="8" borderId="114" xfId="3" applyNumberFormat="1" applyFont="1" applyFill="1" applyBorder="1" applyAlignment="1">
      <alignment horizontal="right"/>
    </xf>
    <xf numFmtId="0" fontId="14" fillId="8" borderId="115" xfId="3" applyNumberFormat="1" applyFont="1" applyFill="1" applyBorder="1" applyAlignment="1">
      <alignment wrapText="1"/>
    </xf>
    <xf numFmtId="43" fontId="33" fillId="8" borderId="45" xfId="3" applyFont="1" applyFill="1" applyBorder="1"/>
    <xf numFmtId="43" fontId="33" fillId="8" borderId="10" xfId="3" applyFont="1" applyFill="1" applyBorder="1"/>
    <xf numFmtId="166" fontId="33" fillId="8" borderId="10" xfId="3" applyNumberFormat="1" applyFont="1" applyFill="1" applyBorder="1"/>
    <xf numFmtId="0" fontId="33" fillId="8" borderId="11" xfId="3" applyNumberFormat="1" applyFont="1" applyFill="1" applyBorder="1" applyAlignment="1">
      <alignment wrapText="1"/>
    </xf>
    <xf numFmtId="43" fontId="22" fillId="27" borderId="63" xfId="3" applyFont="1" applyFill="1" applyBorder="1"/>
    <xf numFmtId="43" fontId="40" fillId="27" borderId="116" xfId="3" applyFont="1" applyFill="1" applyBorder="1"/>
    <xf numFmtId="43" fontId="40" fillId="27" borderId="79" xfId="3" applyFont="1" applyFill="1" applyBorder="1"/>
    <xf numFmtId="0" fontId="40" fillId="27" borderId="38" xfId="3" applyNumberFormat="1" applyFont="1" applyFill="1" applyBorder="1"/>
    <xf numFmtId="43" fontId="11" fillId="28" borderId="42" xfId="3" applyFont="1" applyFill="1" applyBorder="1" applyAlignment="1">
      <alignment horizontal="right"/>
    </xf>
    <xf numFmtId="0" fontId="25" fillId="28" borderId="117" xfId="3" applyNumberFormat="1" applyFont="1" applyFill="1" applyBorder="1" applyAlignment="1">
      <alignment wrapText="1"/>
    </xf>
    <xf numFmtId="165" fontId="25" fillId="28" borderId="4" xfId="3" applyNumberFormat="1" applyFont="1" applyFill="1" applyBorder="1"/>
    <xf numFmtId="43" fontId="25" fillId="28" borderId="4" xfId="3" applyFont="1" applyFill="1" applyBorder="1"/>
    <xf numFmtId="166" fontId="25" fillId="28" borderId="4" xfId="3" applyNumberFormat="1" applyFont="1" applyFill="1" applyBorder="1"/>
    <xf numFmtId="0" fontId="2" fillId="28" borderId="5" xfId="3" applyNumberFormat="1" applyFont="1" applyFill="1" applyBorder="1" applyAlignment="1">
      <alignment wrapText="1"/>
    </xf>
    <xf numFmtId="43" fontId="11" fillId="7" borderId="48" xfId="3" applyFont="1" applyFill="1" applyBorder="1" applyAlignment="1">
      <alignment horizontal="right"/>
    </xf>
    <xf numFmtId="43" fontId="13" fillId="7" borderId="45" xfId="3" applyFont="1" applyFill="1" applyBorder="1" applyAlignment="1">
      <alignment wrapText="1"/>
    </xf>
    <xf numFmtId="165" fontId="33" fillId="7" borderId="10" xfId="3" applyNumberFormat="1" applyFont="1" applyFill="1" applyBorder="1"/>
    <xf numFmtId="43" fontId="25" fillId="7" borderId="10" xfId="3" applyFont="1" applyFill="1" applyBorder="1"/>
    <xf numFmtId="166" fontId="33" fillId="7" borderId="10" xfId="3" applyNumberFormat="1" applyFont="1" applyFill="1" applyBorder="1"/>
    <xf numFmtId="0" fontId="29" fillId="7" borderId="11" xfId="3" applyNumberFormat="1" applyFont="1" applyFill="1" applyBorder="1" applyAlignment="1">
      <alignment wrapText="1"/>
    </xf>
    <xf numFmtId="43" fontId="33" fillId="8" borderId="47" xfId="3" applyFont="1" applyFill="1" applyBorder="1" applyAlignment="1">
      <alignment horizontal="right"/>
    </xf>
    <xf numFmtId="43" fontId="33" fillId="8" borderId="44" xfId="3" applyFont="1" applyFill="1" applyBorder="1"/>
    <xf numFmtId="43" fontId="33" fillId="8" borderId="2" xfId="3" applyFont="1" applyFill="1" applyBorder="1"/>
    <xf numFmtId="166" fontId="33" fillId="8" borderId="2" xfId="3" applyNumberFormat="1" applyFont="1" applyFill="1" applyBorder="1"/>
    <xf numFmtId="165" fontId="29" fillId="8" borderId="2" xfId="3" applyNumberFormat="1" applyFont="1" applyFill="1" applyBorder="1"/>
    <xf numFmtId="43" fontId="5" fillId="18" borderId="22" xfId="3" applyFont="1" applyFill="1" applyBorder="1"/>
    <xf numFmtId="43" fontId="11" fillId="18" borderId="27" xfId="4" applyNumberFormat="1" applyFill="1" applyBorder="1"/>
    <xf numFmtId="43" fontId="5" fillId="18" borderId="21" xfId="3" applyFont="1" applyFill="1" applyBorder="1"/>
    <xf numFmtId="165" fontId="11" fillId="6" borderId="2" xfId="4" applyNumberFormat="1" applyFill="1" applyBorder="1"/>
    <xf numFmtId="165" fontId="11" fillId="6" borderId="27" xfId="4" applyNumberFormat="1" applyFill="1" applyBorder="1"/>
    <xf numFmtId="0" fontId="14" fillId="12" borderId="47" xfId="2" applyFont="1" applyFill="1" applyBorder="1" applyAlignment="1">
      <alignment horizontal="left" wrapText="1"/>
    </xf>
    <xf numFmtId="0" fontId="2" fillId="8" borderId="8" xfId="3" applyNumberFormat="1" applyFont="1" applyFill="1" applyBorder="1" applyAlignment="1">
      <alignment wrapText="1"/>
    </xf>
    <xf numFmtId="0" fontId="11" fillId="22" borderId="0" xfId="2" applyFont="1" applyFill="1"/>
    <xf numFmtId="0" fontId="48" fillId="35" borderId="58" xfId="0" applyFont="1" applyFill="1" applyBorder="1" applyAlignment="1">
      <alignment horizontal="center" vertical="center"/>
    </xf>
    <xf numFmtId="0" fontId="48" fillId="35" borderId="49" xfId="0" applyFont="1" applyFill="1" applyBorder="1" applyAlignment="1">
      <alignment horizontal="center" vertical="center"/>
    </xf>
    <xf numFmtId="0" fontId="48" fillId="35" borderId="43" xfId="0" applyFont="1" applyFill="1" applyBorder="1" applyAlignment="1">
      <alignment horizontal="center" vertical="center"/>
    </xf>
    <xf numFmtId="0" fontId="27" fillId="28" borderId="54" xfId="0" applyFont="1" applyFill="1" applyBorder="1" applyAlignment="1">
      <alignment horizontal="left" vertical="center" wrapText="1"/>
    </xf>
    <xf numFmtId="0" fontId="27" fillId="28" borderId="60" xfId="0" applyFont="1" applyFill="1" applyBorder="1" applyAlignment="1">
      <alignment horizontal="left" vertical="center" wrapText="1"/>
    </xf>
    <xf numFmtId="0" fontId="27" fillId="28" borderId="55" xfId="0" applyFont="1" applyFill="1" applyBorder="1" applyAlignment="1">
      <alignment horizontal="left" vertical="center" wrapText="1"/>
    </xf>
    <xf numFmtId="0" fontId="0" fillId="22" borderId="0" xfId="0" applyFill="1" applyAlignment="1">
      <alignment horizontal="left" wrapText="1"/>
    </xf>
    <xf numFmtId="0" fontId="25" fillId="12" borderId="58" xfId="0" applyFont="1" applyFill="1" applyBorder="1" applyAlignment="1">
      <alignment horizontal="left" vertical="center"/>
    </xf>
    <xf numFmtId="0" fontId="25" fillId="12" borderId="49" xfId="0" applyFont="1" applyFill="1" applyBorder="1" applyAlignment="1">
      <alignment horizontal="left" vertical="center"/>
    </xf>
    <xf numFmtId="0" fontId="25" fillId="12" borderId="43" xfId="0" applyFont="1" applyFill="1" applyBorder="1" applyAlignment="1">
      <alignment horizontal="left" vertical="center"/>
    </xf>
    <xf numFmtId="0" fontId="27" fillId="7" borderId="50" xfId="0" applyFont="1" applyFill="1" applyBorder="1" applyAlignment="1">
      <alignment horizontal="left" vertical="center" wrapText="1"/>
    </xf>
    <xf numFmtId="0" fontId="27" fillId="7" borderId="59" xfId="0" applyFont="1" applyFill="1" applyBorder="1" applyAlignment="1">
      <alignment horizontal="left" vertical="center" wrapText="1"/>
    </xf>
    <xf numFmtId="0" fontId="27" fillId="7" borderId="51" xfId="0" applyFont="1" applyFill="1" applyBorder="1" applyAlignment="1">
      <alignment horizontal="left" vertical="center" wrapText="1"/>
    </xf>
    <xf numFmtId="0" fontId="2" fillId="18" borderId="52" xfId="0" applyFont="1" applyFill="1" applyBorder="1" applyAlignment="1">
      <alignment horizontal="left" vertical="center" wrapText="1"/>
    </xf>
    <xf numFmtId="0" fontId="27" fillId="18" borderId="19" xfId="0" applyFont="1" applyFill="1" applyBorder="1" applyAlignment="1">
      <alignment horizontal="left" vertical="center" wrapText="1"/>
    </xf>
    <xf numFmtId="0" fontId="27" fillId="18" borderId="53" xfId="0" applyFont="1" applyFill="1" applyBorder="1" applyAlignment="1">
      <alignment horizontal="left" vertical="center" wrapText="1"/>
    </xf>
    <xf numFmtId="0" fontId="2" fillId="8" borderId="52" xfId="0" applyFont="1" applyFill="1" applyBorder="1" applyAlignment="1">
      <alignment horizontal="left" vertical="center" wrapText="1"/>
    </xf>
    <xf numFmtId="0" fontId="27" fillId="8" borderId="19" xfId="0" applyFont="1" applyFill="1" applyBorder="1" applyAlignment="1">
      <alignment horizontal="left" vertical="center" wrapText="1"/>
    </xf>
    <xf numFmtId="0" fontId="27" fillId="8" borderId="53" xfId="0" applyFont="1" applyFill="1" applyBorder="1" applyAlignment="1">
      <alignment horizontal="left" vertical="center" wrapText="1"/>
    </xf>
    <xf numFmtId="0" fontId="2" fillId="4" borderId="52" xfId="0" applyFont="1" applyFill="1" applyBorder="1" applyAlignment="1">
      <alignment horizontal="left" vertical="center" wrapText="1"/>
    </xf>
    <xf numFmtId="0" fontId="27" fillId="4" borderId="19" xfId="0" applyFont="1" applyFill="1" applyBorder="1" applyAlignment="1">
      <alignment horizontal="left" vertical="center" wrapText="1"/>
    </xf>
    <xf numFmtId="0" fontId="27" fillId="4" borderId="53" xfId="0" applyFont="1" applyFill="1" applyBorder="1" applyAlignment="1">
      <alignment horizontal="left" vertical="center" wrapText="1"/>
    </xf>
    <xf numFmtId="0" fontId="47" fillId="12" borderId="63" xfId="2" applyFont="1" applyFill="1" applyBorder="1" applyAlignment="1">
      <alignment horizontal="center" vertical="center"/>
    </xf>
    <xf numFmtId="0" fontId="47" fillId="12" borderId="64" xfId="2" applyFont="1" applyFill="1" applyBorder="1" applyAlignment="1">
      <alignment horizontal="center" vertical="center"/>
    </xf>
    <xf numFmtId="0" fontId="48" fillId="22" borderId="57" xfId="2" applyFont="1" applyFill="1" applyBorder="1" applyAlignment="1">
      <alignment horizontal="left"/>
    </xf>
    <xf numFmtId="43" fontId="50" fillId="20" borderId="109" xfId="3" applyFont="1" applyFill="1" applyBorder="1" applyAlignment="1">
      <alignment horizontal="center"/>
    </xf>
    <xf numFmtId="43" fontId="50" fillId="20" borderId="0" xfId="3" applyFont="1" applyFill="1" applyBorder="1" applyAlignment="1">
      <alignment horizontal="center"/>
    </xf>
    <xf numFmtId="43" fontId="26" fillId="11" borderId="58" xfId="3" applyFont="1" applyFill="1" applyBorder="1" applyAlignment="1">
      <alignment horizontal="left"/>
    </xf>
    <xf numFmtId="43" fontId="26" fillId="11" borderId="49" xfId="3" applyFont="1" applyFill="1" applyBorder="1" applyAlignment="1">
      <alignment horizontal="left"/>
    </xf>
    <xf numFmtId="43" fontId="26" fillId="11" borderId="43" xfId="3" applyFont="1" applyFill="1" applyBorder="1" applyAlignment="1">
      <alignment horizontal="left"/>
    </xf>
    <xf numFmtId="43" fontId="49" fillId="9" borderId="58" xfId="3" applyFont="1" applyFill="1" applyBorder="1" applyAlignment="1">
      <alignment horizontal="left"/>
    </xf>
    <xf numFmtId="43" fontId="26" fillId="9" borderId="49" xfId="3" applyFont="1" applyFill="1" applyBorder="1" applyAlignment="1">
      <alignment horizontal="left"/>
    </xf>
    <xf numFmtId="43" fontId="26" fillId="9" borderId="43" xfId="3" applyFont="1" applyFill="1" applyBorder="1" applyAlignment="1">
      <alignment horizontal="left"/>
    </xf>
    <xf numFmtId="43" fontId="31" fillId="10" borderId="13" xfId="3" applyFont="1" applyFill="1" applyBorder="1" applyAlignment="1">
      <alignment horizontal="left"/>
    </xf>
    <xf numFmtId="43" fontId="31" fillId="10" borderId="34" xfId="3" applyFont="1" applyFill="1" applyBorder="1" applyAlignment="1">
      <alignment horizontal="left"/>
    </xf>
    <xf numFmtId="43" fontId="31" fillId="10" borderId="27" xfId="3" applyFont="1" applyFill="1" applyBorder="1" applyAlignment="1">
      <alignment horizontal="left"/>
    </xf>
    <xf numFmtId="43" fontId="48" fillId="0" borderId="58" xfId="3" applyFont="1" applyBorder="1" applyAlignment="1">
      <alignment horizontal="left"/>
    </xf>
    <xf numFmtId="43" fontId="48" fillId="0" borderId="49" xfId="3" applyFont="1" applyBorder="1" applyAlignment="1">
      <alignment horizontal="left"/>
    </xf>
    <xf numFmtId="43" fontId="48" fillId="0" borderId="43" xfId="3" applyFont="1" applyBorder="1" applyAlignment="1">
      <alignment horizontal="left"/>
    </xf>
    <xf numFmtId="43" fontId="31" fillId="20" borderId="16" xfId="3" applyFont="1" applyFill="1" applyBorder="1" applyAlignment="1">
      <alignment horizontal="left"/>
    </xf>
    <xf numFmtId="43" fontId="31" fillId="20" borderId="19" xfId="3" applyFont="1" applyFill="1" applyBorder="1" applyAlignment="1">
      <alignment horizontal="left"/>
    </xf>
    <xf numFmtId="43" fontId="31" fillId="20" borderId="44" xfId="3" applyFont="1" applyFill="1" applyBorder="1" applyAlignment="1">
      <alignment horizontal="left"/>
    </xf>
    <xf numFmtId="165" fontId="10" fillId="6" borderId="72" xfId="7" applyNumberFormat="1" applyFill="1" applyBorder="1" applyAlignment="1">
      <alignment horizontal="left"/>
    </xf>
    <xf numFmtId="165" fontId="10" fillId="6" borderId="73" xfId="7" applyNumberFormat="1" applyFill="1" applyBorder="1" applyAlignment="1">
      <alignment horizontal="left"/>
    </xf>
    <xf numFmtId="165" fontId="10" fillId="6" borderId="74" xfId="7" applyNumberFormat="1" applyFill="1" applyBorder="1" applyAlignment="1">
      <alignment horizontal="left"/>
    </xf>
    <xf numFmtId="165" fontId="10" fillId="18" borderId="36" xfId="7" applyNumberFormat="1" applyFill="1" applyBorder="1" applyAlignment="1">
      <alignment horizontal="left"/>
    </xf>
    <xf numFmtId="165" fontId="10" fillId="18" borderId="37" xfId="7" applyNumberFormat="1" applyFill="1" applyBorder="1" applyAlignment="1">
      <alignment horizontal="left"/>
    </xf>
    <xf numFmtId="165" fontId="10" fillId="18" borderId="23" xfId="7" applyNumberFormat="1" applyFill="1" applyAlignment="1">
      <alignment horizontal="left"/>
    </xf>
    <xf numFmtId="165" fontId="10" fillId="18" borderId="41" xfId="7" applyNumberFormat="1" applyFill="1" applyBorder="1" applyAlignment="1">
      <alignment horizontal="left"/>
    </xf>
    <xf numFmtId="165" fontId="10" fillId="19" borderId="36" xfId="7" applyNumberFormat="1" applyFill="1" applyBorder="1" applyAlignment="1">
      <alignment horizontal="left"/>
    </xf>
    <xf numFmtId="165" fontId="10" fillId="19" borderId="37" xfId="7" applyNumberFormat="1" applyFill="1" applyBorder="1" applyAlignment="1">
      <alignment horizontal="left"/>
    </xf>
    <xf numFmtId="165" fontId="10" fillId="19" borderId="23" xfId="7" applyNumberFormat="1" applyFill="1" applyAlignment="1">
      <alignment horizontal="left"/>
    </xf>
    <xf numFmtId="165" fontId="10" fillId="19" borderId="41" xfId="7" applyNumberFormat="1" applyFill="1" applyBorder="1" applyAlignment="1">
      <alignment horizontal="left"/>
    </xf>
    <xf numFmtId="165" fontId="48" fillId="0" borderId="21" xfId="3" applyNumberFormat="1" applyFont="1" applyBorder="1" applyAlignment="1">
      <alignment horizontal="left"/>
    </xf>
    <xf numFmtId="165" fontId="48" fillId="0" borderId="34" xfId="3" applyNumberFormat="1" applyFont="1" applyBorder="1" applyAlignment="1">
      <alignment horizontal="left"/>
    </xf>
    <xf numFmtId="165" fontId="48" fillId="0" borderId="81" xfId="3" applyNumberFormat="1" applyFont="1" applyBorder="1" applyAlignment="1">
      <alignment horizontal="left"/>
    </xf>
    <xf numFmtId="165" fontId="22" fillId="16" borderId="58" xfId="6" applyNumberFormat="1" applyFont="1" applyBorder="1" applyAlignment="1">
      <alignment horizontal="center"/>
    </xf>
    <xf numFmtId="165" fontId="22" fillId="16" borderId="49" xfId="6" applyNumberFormat="1" applyFont="1" applyBorder="1" applyAlignment="1">
      <alignment horizontal="center"/>
    </xf>
    <xf numFmtId="165" fontId="22" fillId="16" borderId="43" xfId="6" applyNumberFormat="1" applyFont="1" applyBorder="1" applyAlignment="1">
      <alignment horizontal="center"/>
    </xf>
    <xf numFmtId="0" fontId="22" fillId="15" borderId="58" xfId="5" applyFont="1" applyBorder="1" applyAlignment="1">
      <alignment horizontal="center"/>
    </xf>
    <xf numFmtId="0" fontId="22" fillId="15" borderId="49" xfId="5" applyFont="1" applyBorder="1" applyAlignment="1">
      <alignment horizontal="center"/>
    </xf>
    <xf numFmtId="0" fontId="22" fillId="15" borderId="43" xfId="5" applyFont="1" applyBorder="1" applyAlignment="1">
      <alignment horizontal="center"/>
    </xf>
    <xf numFmtId="165" fontId="11" fillId="25" borderId="85" xfId="3" applyNumberFormat="1" applyFont="1" applyFill="1" applyBorder="1" applyAlignment="1">
      <alignment horizontal="center"/>
    </xf>
    <xf numFmtId="165" fontId="11" fillId="25" borderId="13" xfId="3" applyNumberFormat="1" applyFont="1" applyFill="1" applyBorder="1" applyAlignment="1">
      <alignment horizontal="center"/>
    </xf>
    <xf numFmtId="165" fontId="11" fillId="25" borderId="56" xfId="3" applyNumberFormat="1" applyFont="1" applyFill="1" applyBorder="1" applyAlignment="1">
      <alignment horizontal="center"/>
    </xf>
    <xf numFmtId="165" fontId="11" fillId="25" borderId="93" xfId="3" applyNumberFormat="1" applyFont="1" applyFill="1" applyBorder="1" applyAlignment="1">
      <alignment horizontal="center"/>
    </xf>
    <xf numFmtId="165" fontId="11" fillId="25" borderId="94" xfId="3" applyNumberFormat="1" applyFont="1" applyFill="1" applyBorder="1" applyAlignment="1">
      <alignment horizontal="center"/>
    </xf>
    <xf numFmtId="165" fontId="11" fillId="25" borderId="92" xfId="3" applyNumberFormat="1" applyFont="1" applyFill="1" applyBorder="1" applyAlignment="1">
      <alignment horizontal="center"/>
    </xf>
    <xf numFmtId="0" fontId="42" fillId="22" borderId="0" xfId="0" applyFont="1" applyFill="1" applyAlignment="1">
      <alignment horizontal="right" vertical="center"/>
    </xf>
    <xf numFmtId="0" fontId="24" fillId="22" borderId="0" xfId="0" applyFont="1" applyFill="1" applyAlignment="1">
      <alignment horizontal="left"/>
    </xf>
    <xf numFmtId="0" fontId="48" fillId="0" borderId="57" xfId="0" applyFont="1" applyBorder="1" applyAlignment="1">
      <alignment horizontal="left"/>
    </xf>
    <xf numFmtId="0" fontId="18" fillId="23" borderId="90" xfId="0" applyFont="1" applyFill="1" applyBorder="1" applyAlignment="1">
      <alignment horizontal="left" wrapText="1"/>
    </xf>
    <xf numFmtId="0" fontId="18" fillId="23" borderId="87" xfId="0" applyFont="1" applyFill="1" applyBorder="1" applyAlignment="1">
      <alignment horizontal="left" wrapText="1"/>
    </xf>
    <xf numFmtId="0" fontId="18" fillId="23" borderId="88" xfId="0" applyFont="1" applyFill="1" applyBorder="1" applyAlignment="1">
      <alignment horizontal="left" wrapText="1"/>
    </xf>
    <xf numFmtId="0" fontId="18" fillId="23" borderId="44" xfId="0" applyFont="1" applyFill="1" applyBorder="1" applyAlignment="1">
      <alignment horizontal="left" wrapText="1"/>
    </xf>
    <xf numFmtId="0" fontId="18" fillId="23" borderId="2" xfId="0" applyFont="1" applyFill="1" applyBorder="1" applyAlignment="1">
      <alignment horizontal="left" wrapText="1"/>
    </xf>
    <xf numFmtId="0" fontId="18" fillId="23" borderId="8" xfId="0" applyFont="1" applyFill="1" applyBorder="1" applyAlignment="1">
      <alignment horizontal="left" wrapText="1"/>
    </xf>
    <xf numFmtId="43" fontId="49" fillId="24" borderId="49" xfId="3" applyFont="1" applyFill="1" applyBorder="1" applyAlignment="1">
      <alignment horizontal="left"/>
    </xf>
    <xf numFmtId="43" fontId="26" fillId="24" borderId="49" xfId="3" applyFont="1" applyFill="1" applyBorder="1" applyAlignment="1">
      <alignment horizontal="left"/>
    </xf>
    <xf numFmtId="43" fontId="26" fillId="24" borderId="43" xfId="3" applyFont="1" applyFill="1" applyBorder="1" applyAlignment="1">
      <alignment horizontal="left"/>
    </xf>
    <xf numFmtId="0" fontId="18" fillId="23" borderId="85" xfId="0" applyFont="1" applyFill="1" applyBorder="1" applyAlignment="1">
      <alignment horizontal="left" wrapText="1"/>
    </xf>
    <xf numFmtId="0" fontId="18" fillId="23" borderId="31" xfId="0" applyFont="1" applyFill="1" applyBorder="1" applyAlignment="1">
      <alignment horizontal="left" wrapText="1"/>
    </xf>
    <xf numFmtId="0" fontId="18" fillId="23" borderId="93" xfId="0" applyFont="1" applyFill="1" applyBorder="1" applyAlignment="1">
      <alignment horizontal="left" wrapText="1"/>
    </xf>
    <xf numFmtId="0" fontId="18" fillId="23" borderId="13" xfId="0" applyFont="1" applyFill="1" applyBorder="1" applyAlignment="1">
      <alignment horizontal="left" wrapText="1"/>
    </xf>
    <xf numFmtId="0" fontId="18" fillId="23" borderId="0" xfId="0" applyFont="1" applyFill="1" applyAlignment="1">
      <alignment horizontal="left" wrapText="1"/>
    </xf>
    <xf numFmtId="0" fontId="18" fillId="23" borderId="94" xfId="0" applyFont="1" applyFill="1" applyBorder="1" applyAlignment="1">
      <alignment horizontal="left" wrapText="1"/>
    </xf>
    <xf numFmtId="0" fontId="18" fillId="23" borderId="56" xfId="0" applyFont="1" applyFill="1" applyBorder="1" applyAlignment="1">
      <alignment horizontal="left" wrapText="1"/>
    </xf>
    <xf numFmtId="0" fontId="18" fillId="23" borderId="57" xfId="0" applyFont="1" applyFill="1" applyBorder="1" applyAlignment="1">
      <alignment horizontal="left" wrapText="1"/>
    </xf>
    <xf numFmtId="0" fontId="18" fillId="23" borderId="92" xfId="0" applyFont="1" applyFill="1" applyBorder="1" applyAlignment="1">
      <alignment horizontal="left" wrapText="1"/>
    </xf>
    <xf numFmtId="3" fontId="18" fillId="14" borderId="2" xfId="2" applyNumberFormat="1" applyFont="1" applyFill="1" applyBorder="1" applyAlignment="1">
      <alignment horizontal="left" wrapText="1"/>
    </xf>
    <xf numFmtId="3" fontId="18" fillId="13" borderId="2" xfId="2" applyNumberFormat="1" applyFont="1" applyFill="1" applyBorder="1" applyAlignment="1">
      <alignment horizontal="left" wrapText="1"/>
    </xf>
    <xf numFmtId="3" fontId="4" fillId="23" borderId="2" xfId="2" applyNumberFormat="1" applyFont="1" applyFill="1" applyBorder="1" applyAlignment="1">
      <alignment horizontal="left" wrapText="1"/>
    </xf>
    <xf numFmtId="0" fontId="18" fillId="23" borderId="63" xfId="0" applyFont="1" applyFill="1" applyBorder="1" applyAlignment="1">
      <alignment horizontal="left" vertical="center" wrapText="1"/>
    </xf>
    <xf numFmtId="0" fontId="18" fillId="23" borderId="86" xfId="0" applyFont="1" applyFill="1" applyBorder="1" applyAlignment="1">
      <alignment horizontal="left" vertical="center" wrapText="1"/>
    </xf>
    <xf numFmtId="0" fontId="18" fillId="23" borderId="64" xfId="0" applyFont="1" applyFill="1" applyBorder="1" applyAlignment="1">
      <alignment horizontal="left" vertical="center" wrapText="1"/>
    </xf>
    <xf numFmtId="0" fontId="24" fillId="34" borderId="2" xfId="0" applyFont="1" applyFill="1" applyBorder="1" applyAlignment="1">
      <alignment horizontal="left" vertical="center" wrapText="1"/>
    </xf>
  </cellXfs>
  <cellStyles count="8">
    <cellStyle name="Accent2" xfId="5" builtinId="33"/>
    <cellStyle name="Accent6" xfId="6" builtinId="49"/>
    <cellStyle name="Comma" xfId="3" builtinId="3"/>
    <cellStyle name="Heading 3" xfId="7" builtinId="18"/>
    <cellStyle name="Normal" xfId="0" builtinId="0"/>
    <cellStyle name="Normal 2" xfId="2" xr:uid="{00000000-0005-0000-0000-000009000000}"/>
    <cellStyle name="Percent" xfId="1" builtinId="5"/>
    <cellStyle name="Total" xfId="4" builtinId="25"/>
  </cellStyles>
  <dxfs count="0"/>
  <tableStyles count="0" defaultTableStyle="TableStyleMedium2" defaultPivotStyle="PivotStyleLight16"/>
  <colors>
    <mruColors>
      <color rgb="FFB5E6A2"/>
      <color rgb="FFEFEEB3"/>
      <color rgb="FFFFFD78"/>
      <color rgb="FFEDE90B"/>
      <color rgb="FFA2A14D"/>
      <color rgb="FFFFFC00"/>
      <color rgb="FFBDBA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'5. Future_Quantum_Scaling'!$W$23</c:f>
              <c:strCache>
                <c:ptCount val="1"/>
                <c:pt idx="0">
                  <c:v>AI Data Centers</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lin ang="16200000" scaled="1"/>
              <a:tileRect/>
            </a:gradFill>
            <a:ln>
              <a:noFill/>
            </a:ln>
            <a:effectLst/>
          </c:spPr>
          <c:invertIfNegative val="0"/>
          <c:cat>
            <c:multiLvlStrRef>
              <c:f>'5. Future_Quantum_Scaling'!$U$24:$V$26</c:f>
              <c:multiLvlStrCache>
                <c:ptCount val="3"/>
                <c:lvl>
                  <c:pt idx="0">
                    <c:v>2025</c:v>
                  </c:pt>
                  <c:pt idx="1">
                    <c:v>Low Penetration</c:v>
                  </c:pt>
                  <c:pt idx="2">
                    <c:v>High Penetration</c:v>
                  </c:pt>
                </c:lvl>
                <c:lvl>
                  <c:pt idx="1">
                    <c:v>2045</c:v>
                  </c:pt>
                </c:lvl>
              </c:multiLvlStrCache>
            </c:multiLvlStrRef>
          </c:cat>
          <c:val>
            <c:numRef>
              <c:f>'5. Future_Quantum_Scaling'!$W$24:$W$26</c:f>
              <c:numCache>
                <c:formatCode>#,##0</c:formatCode>
                <c:ptCount val="3"/>
                <c:pt idx="0" formatCode="General">
                  <c:v>359</c:v>
                </c:pt>
                <c:pt idx="1">
                  <c:v>1350</c:v>
                </c:pt>
                <c:pt idx="2" formatCode="General">
                  <c:v>0</c:v>
                </c:pt>
              </c:numCache>
            </c:numRef>
          </c:val>
          <c:extLst>
            <c:ext xmlns:c16="http://schemas.microsoft.com/office/drawing/2014/chart" uri="{C3380CC4-5D6E-409C-BE32-E72D297353CC}">
              <c16:uniqueId val="{00000000-741E-214C-9B1B-A7A76A2A7BFA}"/>
            </c:ext>
          </c:extLst>
        </c:ser>
        <c:ser>
          <c:idx val="1"/>
          <c:order val="1"/>
          <c:tx>
            <c:strRef>
              <c:f>'5. Future_Quantum_Scaling'!$X$23</c:f>
              <c:strCache>
                <c:ptCount val="1"/>
                <c:pt idx="0">
                  <c:v>Quantum Accelerated Computing Infrastructure (QuACI)</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lin ang="16200000" scaled="1"/>
              <a:tileRect/>
            </a:gradFill>
            <a:ln>
              <a:noFill/>
            </a:ln>
            <a:effectLst/>
          </c:spPr>
          <c:invertIfNegative val="0"/>
          <c:cat>
            <c:multiLvlStrRef>
              <c:f>'5. Future_Quantum_Scaling'!$U$24:$V$26</c:f>
              <c:multiLvlStrCache>
                <c:ptCount val="3"/>
                <c:lvl>
                  <c:pt idx="0">
                    <c:v>2025</c:v>
                  </c:pt>
                  <c:pt idx="1">
                    <c:v>Low Penetration</c:v>
                  </c:pt>
                  <c:pt idx="2">
                    <c:v>High Penetration</c:v>
                  </c:pt>
                </c:lvl>
                <c:lvl>
                  <c:pt idx="1">
                    <c:v>2045</c:v>
                  </c:pt>
                </c:lvl>
              </c:multiLvlStrCache>
            </c:multiLvlStrRef>
          </c:cat>
          <c:val>
            <c:numRef>
              <c:f>'5. Future_Quantum_Scaling'!$X$24:$X$26</c:f>
              <c:numCache>
                <c:formatCode>#,##0</c:formatCode>
                <c:ptCount val="3"/>
                <c:pt idx="0" formatCode="General">
                  <c:v>0</c:v>
                </c:pt>
                <c:pt idx="1">
                  <c:v>150</c:v>
                </c:pt>
                <c:pt idx="2">
                  <c:v>1500</c:v>
                </c:pt>
              </c:numCache>
            </c:numRef>
          </c:val>
          <c:extLst>
            <c:ext xmlns:c16="http://schemas.microsoft.com/office/drawing/2014/chart" uri="{C3380CC4-5D6E-409C-BE32-E72D297353CC}">
              <c16:uniqueId val="{00000001-741E-214C-9B1B-A7A76A2A7BFA}"/>
            </c:ext>
          </c:extLst>
        </c:ser>
        <c:dLbls>
          <c:showLegendKey val="0"/>
          <c:showVal val="0"/>
          <c:showCatName val="0"/>
          <c:showSerName val="0"/>
          <c:showPercent val="0"/>
          <c:showBubbleSize val="0"/>
        </c:dLbls>
        <c:gapWidth val="150"/>
        <c:overlap val="100"/>
        <c:axId val="1845580624"/>
        <c:axId val="1845582336"/>
      </c:barChart>
      <c:catAx>
        <c:axId val="18455806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Garamond" panose="02020404030301010803" pitchFamily="18" charset="0"/>
                <a:ea typeface="+mn-ea"/>
                <a:cs typeface="+mn-cs"/>
              </a:defRPr>
            </a:pPr>
            <a:endParaRPr lang="en-US"/>
          </a:p>
        </c:txPr>
        <c:crossAx val="1845582336"/>
        <c:crosses val="autoZero"/>
        <c:auto val="1"/>
        <c:lblAlgn val="ctr"/>
        <c:lblOffset val="100"/>
        <c:noMultiLvlLbl val="0"/>
      </c:catAx>
      <c:valAx>
        <c:axId val="1845582336"/>
        <c:scaling>
          <c:orientation val="minMax"/>
        </c:scaling>
        <c:delete val="1"/>
        <c:axPos val="b"/>
        <c:numFmt formatCode="General" sourceLinked="1"/>
        <c:majorTickMark val="none"/>
        <c:minorTickMark val="none"/>
        <c:tickLblPos val="nextTo"/>
        <c:crossAx val="1845580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88670166229218"/>
          <c:y val="5.4386482939632545E-2"/>
          <c:w val="0.78455774278215218"/>
          <c:h val="0.60933326042578007"/>
        </c:manualLayout>
      </c:layout>
      <c:barChart>
        <c:barDir val="col"/>
        <c:grouping val="stacked"/>
        <c:varyColors val="0"/>
        <c:ser>
          <c:idx val="0"/>
          <c:order val="0"/>
          <c:tx>
            <c:strRef>
              <c:f>'5. Future_Quantum_Scaling'!$B$35</c:f>
              <c:strCache>
                <c:ptCount val="1"/>
                <c:pt idx="0">
                  <c:v> Practical FTQC </c:v>
                </c:pt>
              </c:strCache>
            </c:strRef>
          </c:tx>
          <c:spPr>
            <a:solidFill>
              <a:schemeClr val="accent6">
                <a:lumMod val="60000"/>
                <a:lumOff val="40000"/>
              </a:schemeClr>
            </a:solidFill>
            <a:ln w="6350">
              <a:solidFill>
                <a:schemeClr val="accent6"/>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Future_Quantum_Scaling'!$D$35:$I$35</c:f>
              <c:numCache>
                <c:formatCode>_(* #,##0_);_(* \(#,##0\);_(* "-"??_);_(@_)</c:formatCode>
                <c:ptCount val="6"/>
                <c:pt idx="0">
                  <c:v>3.5810933333333339</c:v>
                </c:pt>
                <c:pt idx="1">
                  <c:v>0</c:v>
                </c:pt>
                <c:pt idx="2">
                  <c:v>0</c:v>
                </c:pt>
                <c:pt idx="3">
                  <c:v>35.810933333333338</c:v>
                </c:pt>
                <c:pt idx="4">
                  <c:v>0</c:v>
                </c:pt>
                <c:pt idx="5">
                  <c:v>0</c:v>
                </c:pt>
              </c:numCache>
            </c:numRef>
          </c:val>
          <c:extLst>
            <c:ext xmlns:c16="http://schemas.microsoft.com/office/drawing/2014/chart" uri="{C3380CC4-5D6E-409C-BE32-E72D297353CC}">
              <c16:uniqueId val="{00000000-855C-2047-94FF-600CB63CDB92}"/>
            </c:ext>
          </c:extLst>
        </c:ser>
        <c:ser>
          <c:idx val="1"/>
          <c:order val="1"/>
          <c:tx>
            <c:strRef>
              <c:f>'5. Future_Quantum_Scaling'!$B$36</c:f>
              <c:strCache>
                <c:ptCount val="1"/>
                <c:pt idx="0">
                  <c:v> Small FTQC </c:v>
                </c:pt>
              </c:strCache>
            </c:strRef>
          </c:tx>
          <c:spPr>
            <a:pattFill prst="lgCheck">
              <a:fgClr>
                <a:schemeClr val="accent6">
                  <a:lumMod val="60000"/>
                  <a:lumOff val="40000"/>
                </a:schemeClr>
              </a:fgClr>
              <a:bgClr>
                <a:schemeClr val="bg1"/>
              </a:bgClr>
            </a:pattFill>
            <a:ln w="6350">
              <a:solidFill>
                <a:schemeClr val="accent6"/>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Future_Quantum_Scaling'!$D$36:$I$36</c:f>
              <c:numCache>
                <c:formatCode>_(* #,##0_);_(* \(#,##0\);_(* "-"??_);_(@_)</c:formatCode>
                <c:ptCount val="6"/>
                <c:pt idx="0">
                  <c:v>0</c:v>
                </c:pt>
                <c:pt idx="1">
                  <c:v>8.1269279999999995</c:v>
                </c:pt>
                <c:pt idx="2">
                  <c:v>0</c:v>
                </c:pt>
                <c:pt idx="3">
                  <c:v>0</c:v>
                </c:pt>
                <c:pt idx="4">
                  <c:v>81.269279999999995</c:v>
                </c:pt>
                <c:pt idx="5">
                  <c:v>0</c:v>
                </c:pt>
              </c:numCache>
            </c:numRef>
          </c:val>
          <c:extLst>
            <c:ext xmlns:c16="http://schemas.microsoft.com/office/drawing/2014/chart" uri="{C3380CC4-5D6E-409C-BE32-E72D297353CC}">
              <c16:uniqueId val="{00000001-855C-2047-94FF-600CB63CDB92}"/>
            </c:ext>
          </c:extLst>
        </c:ser>
        <c:ser>
          <c:idx val="2"/>
          <c:order val="2"/>
          <c:tx>
            <c:strRef>
              <c:f>'5. Future_Quantum_Scaling'!$B$37</c:f>
              <c:strCache>
                <c:ptCount val="1"/>
                <c:pt idx="0">
                  <c:v> Large FTQC </c:v>
                </c:pt>
              </c:strCache>
            </c:strRef>
          </c:tx>
          <c:spPr>
            <a:pattFill prst="dkDnDiag">
              <a:fgClr>
                <a:schemeClr val="accent6">
                  <a:lumMod val="60000"/>
                  <a:lumOff val="40000"/>
                </a:schemeClr>
              </a:fgClr>
              <a:bgClr>
                <a:schemeClr val="bg1"/>
              </a:bgClr>
            </a:pattFill>
            <a:ln w="6350">
              <a:solidFill>
                <a:schemeClr val="accent6"/>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Future_Quantum_Scaling'!$D$37:$I$37</c:f>
              <c:numCache>
                <c:formatCode>_(* #,##0_);_(* \(#,##0\);_(* "-"??_);_(@_)</c:formatCode>
                <c:ptCount val="6"/>
                <c:pt idx="0">
                  <c:v>0</c:v>
                </c:pt>
                <c:pt idx="1">
                  <c:v>0</c:v>
                </c:pt>
                <c:pt idx="2">
                  <c:v>1.3012800000000002</c:v>
                </c:pt>
                <c:pt idx="3">
                  <c:v>0</c:v>
                </c:pt>
                <c:pt idx="4">
                  <c:v>0</c:v>
                </c:pt>
                <c:pt idx="5">
                  <c:v>13.012800000000002</c:v>
                </c:pt>
              </c:numCache>
            </c:numRef>
          </c:val>
          <c:extLst>
            <c:ext xmlns:c16="http://schemas.microsoft.com/office/drawing/2014/chart" uri="{C3380CC4-5D6E-409C-BE32-E72D297353CC}">
              <c16:uniqueId val="{00000002-855C-2047-94FF-600CB63CDB92}"/>
            </c:ext>
          </c:extLst>
        </c:ser>
        <c:dLbls>
          <c:showLegendKey val="0"/>
          <c:showVal val="0"/>
          <c:showCatName val="0"/>
          <c:showSerName val="0"/>
          <c:showPercent val="0"/>
          <c:showBubbleSize val="0"/>
        </c:dLbls>
        <c:gapWidth val="150"/>
        <c:overlap val="100"/>
        <c:axId val="296250607"/>
        <c:axId val="296682527"/>
      </c:barChart>
      <c:catAx>
        <c:axId val="29625060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682527"/>
        <c:crosses val="autoZero"/>
        <c:auto val="1"/>
        <c:lblAlgn val="ctr"/>
        <c:lblOffset val="100"/>
        <c:noMultiLvlLbl val="0"/>
      </c:catAx>
      <c:valAx>
        <c:axId val="296682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r>
                  <a:rPr lang="en-US"/>
                  <a:t>Electric Power</a:t>
                </a:r>
              </a:p>
              <a:p>
                <a:pPr>
                  <a:defRPr/>
                </a:pPr>
                <a:r>
                  <a:rPr lang="en-US"/>
                  <a:t>(GW)</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title>
        <c:numFmt formatCode="_(* #,##0_);_(* \(#,##0\);_(* &quot;-&quot;??_);_(@_)" sourceLinked="1"/>
        <c:majorTickMark val="cross"/>
        <c:minorTickMark val="in"/>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250607"/>
        <c:crosses val="autoZero"/>
        <c:crossBetween val="between"/>
        <c:majorUnit val="20"/>
      </c:valAx>
      <c:spPr>
        <a:noFill/>
        <a:ln>
          <a:noFill/>
        </a:ln>
        <a:effectLst/>
      </c:spPr>
    </c:plotArea>
    <c:legend>
      <c:legendPos val="b"/>
      <c:layout>
        <c:manualLayout>
          <c:xMode val="edge"/>
          <c:yMode val="edge"/>
          <c:x val="0.18142497563658758"/>
          <c:y val="0.8810790317876932"/>
          <c:w val="0.79240815218761895"/>
          <c:h val="8.1950879236062993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88670166229218"/>
          <c:y val="5.4386482939632545E-2"/>
          <c:w val="0.78455774278215218"/>
          <c:h val="0.60933326042578007"/>
        </c:manualLayout>
      </c:layout>
      <c:barChart>
        <c:barDir val="col"/>
        <c:grouping val="stacked"/>
        <c:varyColors val="0"/>
        <c:ser>
          <c:idx val="0"/>
          <c:order val="0"/>
          <c:tx>
            <c:strRef>
              <c:f>'5. Future_Quantum_Scaling'!$B$52</c:f>
              <c:strCache>
                <c:ptCount val="1"/>
                <c:pt idx="0">
                  <c:v> Practical FTQC </c:v>
                </c:pt>
              </c:strCache>
            </c:strRef>
          </c:tx>
          <c:spPr>
            <a:solidFill>
              <a:schemeClr val="accent4">
                <a:lumMod val="60000"/>
                <a:lumOff val="40000"/>
              </a:schemeClr>
            </a:solidFill>
            <a:ln w="6350">
              <a:solidFill>
                <a:schemeClr val="accent1"/>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Future_Quantum_Scaling'!$D$52:$I$52</c:f>
              <c:numCache>
                <c:formatCode>_(* #,##0_);_(* \(#,##0\);_(* "-"??_);_(@_)</c:formatCode>
                <c:ptCount val="6"/>
                <c:pt idx="0">
                  <c:v>13429.883927275197</c:v>
                </c:pt>
                <c:pt idx="1">
                  <c:v>0</c:v>
                </c:pt>
                <c:pt idx="2">
                  <c:v>0</c:v>
                </c:pt>
                <c:pt idx="3">
                  <c:v>134298.839272752</c:v>
                </c:pt>
                <c:pt idx="4">
                  <c:v>0</c:v>
                </c:pt>
                <c:pt idx="5">
                  <c:v>0</c:v>
                </c:pt>
              </c:numCache>
            </c:numRef>
          </c:val>
          <c:extLst>
            <c:ext xmlns:c16="http://schemas.microsoft.com/office/drawing/2014/chart" uri="{C3380CC4-5D6E-409C-BE32-E72D297353CC}">
              <c16:uniqueId val="{00000000-AC31-A44B-9AAB-8CBE51E192B7}"/>
            </c:ext>
          </c:extLst>
        </c:ser>
        <c:ser>
          <c:idx val="1"/>
          <c:order val="1"/>
          <c:tx>
            <c:strRef>
              <c:f>'5. Future_Quantum_Scaling'!$B$53</c:f>
              <c:strCache>
                <c:ptCount val="1"/>
                <c:pt idx="0">
                  <c:v> Small FTQC </c:v>
                </c:pt>
              </c:strCache>
            </c:strRef>
          </c:tx>
          <c:spPr>
            <a:pattFill prst="lgCheck">
              <a:fgClr>
                <a:schemeClr val="accent4">
                  <a:lumMod val="60000"/>
                  <a:lumOff val="40000"/>
                </a:schemeClr>
              </a:fgClr>
              <a:bgClr>
                <a:schemeClr val="bg1"/>
              </a:bgClr>
            </a:pattFill>
            <a:ln w="6350">
              <a:solidFill>
                <a:schemeClr val="accent1"/>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Future_Quantum_Scaling'!$D$53:$I$53</c:f>
              <c:numCache>
                <c:formatCode>_(* #,##0_);_(* \(#,##0\);_(* "-"??_);_(@_)</c:formatCode>
                <c:ptCount val="6"/>
                <c:pt idx="0">
                  <c:v>0</c:v>
                </c:pt>
                <c:pt idx="1">
                  <c:v>31336.395830308797</c:v>
                </c:pt>
                <c:pt idx="2">
                  <c:v>0</c:v>
                </c:pt>
                <c:pt idx="3">
                  <c:v>0</c:v>
                </c:pt>
                <c:pt idx="4">
                  <c:v>313363.95830308797</c:v>
                </c:pt>
                <c:pt idx="5">
                  <c:v>0</c:v>
                </c:pt>
              </c:numCache>
            </c:numRef>
          </c:val>
          <c:extLst>
            <c:ext xmlns:c16="http://schemas.microsoft.com/office/drawing/2014/chart" uri="{C3380CC4-5D6E-409C-BE32-E72D297353CC}">
              <c16:uniqueId val="{00000001-AC31-A44B-9AAB-8CBE51E192B7}"/>
            </c:ext>
          </c:extLst>
        </c:ser>
        <c:ser>
          <c:idx val="2"/>
          <c:order val="2"/>
          <c:tx>
            <c:strRef>
              <c:f>'5. Future_Quantum_Scaling'!$B$54</c:f>
              <c:strCache>
                <c:ptCount val="1"/>
                <c:pt idx="0">
                  <c:v> Large FTQC </c:v>
                </c:pt>
              </c:strCache>
            </c:strRef>
          </c:tx>
          <c:spPr>
            <a:pattFill prst="dkDnDiag">
              <a:fgClr>
                <a:schemeClr val="accent4">
                  <a:lumMod val="60000"/>
                  <a:lumOff val="40000"/>
                </a:schemeClr>
              </a:fgClr>
              <a:bgClr>
                <a:schemeClr val="bg1"/>
              </a:bgClr>
            </a:pattFill>
            <a:ln w="6350">
              <a:solidFill>
                <a:schemeClr val="accent1"/>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Future_Quantum_Scaling'!$D$54:$I$54</c:f>
              <c:numCache>
                <c:formatCode>_(* #,##0_);_(* \(#,##0\);_(* "-"??_);_(@_)</c:formatCode>
                <c:ptCount val="6"/>
                <c:pt idx="0">
                  <c:v>0</c:v>
                </c:pt>
                <c:pt idx="1">
                  <c:v>0</c:v>
                </c:pt>
                <c:pt idx="2">
                  <c:v>8953.2559515167995</c:v>
                </c:pt>
                <c:pt idx="3">
                  <c:v>0</c:v>
                </c:pt>
                <c:pt idx="4">
                  <c:v>0</c:v>
                </c:pt>
                <c:pt idx="5">
                  <c:v>89532.559515168003</c:v>
                </c:pt>
              </c:numCache>
            </c:numRef>
          </c:val>
          <c:extLst>
            <c:ext xmlns:c16="http://schemas.microsoft.com/office/drawing/2014/chart" uri="{C3380CC4-5D6E-409C-BE32-E72D297353CC}">
              <c16:uniqueId val="{00000002-AC31-A44B-9AAB-8CBE51E192B7}"/>
            </c:ext>
          </c:extLst>
        </c:ser>
        <c:dLbls>
          <c:showLegendKey val="0"/>
          <c:showVal val="0"/>
          <c:showCatName val="0"/>
          <c:showSerName val="0"/>
          <c:showPercent val="0"/>
          <c:showBubbleSize val="0"/>
        </c:dLbls>
        <c:gapWidth val="150"/>
        <c:overlap val="100"/>
        <c:axId val="296250607"/>
        <c:axId val="296682527"/>
      </c:barChart>
      <c:catAx>
        <c:axId val="29625060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682527"/>
        <c:crosses val="autoZero"/>
        <c:auto val="1"/>
        <c:lblAlgn val="ctr"/>
        <c:lblOffset val="100"/>
        <c:noMultiLvlLbl val="0"/>
      </c:catAx>
      <c:valAx>
        <c:axId val="296682527"/>
        <c:scaling>
          <c:orientation val="minMax"/>
          <c:max val="40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r>
                  <a:rPr lang="en-US"/>
                  <a:t>Water</a:t>
                </a:r>
              </a:p>
              <a:p>
                <a:pPr>
                  <a:defRPr/>
                </a:pPr>
                <a:r>
                  <a:rPr lang="en-US"/>
                  <a:t>(million liters/year)</a:t>
                </a:r>
              </a:p>
            </c:rich>
          </c:tx>
          <c:layout>
            <c:manualLayout>
              <c:xMode val="edge"/>
              <c:yMode val="edge"/>
              <c:x val="2.0520510107079438E-2"/>
              <c:y val="0.20507144940215807"/>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title>
        <c:numFmt formatCode="_(* #,##0_);_(* \(#,##0\);_(* &quot;-&quot;??_);_(@_)" sourceLinked="1"/>
        <c:majorTickMark val="cross"/>
        <c:minorTickMark val="in"/>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250607"/>
        <c:crosses val="autoZero"/>
        <c:crossBetween val="between"/>
        <c:majorUnit val="100000"/>
        <c:dispUnits>
          <c:builtInUnit val="tenThousands"/>
          <c:dispUnitsLbl>
            <c:layout>
              <c:manualLayout>
                <c:xMode val="edge"/>
                <c:yMode val="edge"/>
                <c:x val="6.5714131974960982E-2"/>
                <c:y val="2.1979075532225136E-2"/>
              </c:manualLayout>
            </c:layout>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baseline="0">
                      <a:solidFill>
                        <a:sysClr val="windowText" lastClr="000000"/>
                      </a:solidFill>
                      <a:latin typeface="Garamond" panose="02020404030301010803" pitchFamily="18" charset="0"/>
                      <a:ea typeface="+mn-ea"/>
                      <a:cs typeface="+mn-cs"/>
                    </a:defRPr>
                  </a:pPr>
                  <a:r>
                    <a:rPr lang="en-US" sz="1050" b="0" i="0" u="none" strike="noStrike" kern="1200" baseline="0">
                      <a:solidFill>
                        <a:sysClr val="windowText" lastClr="000000"/>
                      </a:solidFill>
                      <a:latin typeface="Garamond" panose="02020404030301010803" pitchFamily="18" charset="0"/>
                    </a:rPr>
                    <a:t>×10⁴</a:t>
                  </a:r>
                </a:p>
              </c:rich>
            </c:tx>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baseline="0">
                    <a:solidFill>
                      <a:sysClr val="windowText" lastClr="000000"/>
                    </a:solidFill>
                    <a:latin typeface="Garamond" panose="02020404030301010803" pitchFamily="18" charset="0"/>
                    <a:ea typeface="+mn-ea"/>
                    <a:cs typeface="+mn-cs"/>
                  </a:defRPr>
                </a:pPr>
                <a:endParaRPr lang="en-US"/>
              </a:p>
            </c:txPr>
          </c:dispUnitsLbl>
        </c:dispUnits>
      </c:valAx>
      <c:spPr>
        <a:noFill/>
        <a:ln>
          <a:noFill/>
        </a:ln>
        <a:effectLst/>
      </c:spPr>
    </c:plotArea>
    <c:legend>
      <c:legendPos val="b"/>
      <c:layout>
        <c:manualLayout>
          <c:xMode val="edge"/>
          <c:yMode val="edge"/>
          <c:x val="0.18142497563658758"/>
          <c:y val="0.8810790317876932"/>
          <c:w val="0.78901033726137304"/>
          <c:h val="8.188393117526976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latin typeface="Garamond" panose="02020404030301010803"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88670166229218"/>
          <c:y val="5.4386482939632545E-2"/>
          <c:w val="0.78455774278215218"/>
          <c:h val="0.60933326042578007"/>
        </c:manualLayout>
      </c:layout>
      <c:barChart>
        <c:barDir val="col"/>
        <c:grouping val="stacked"/>
        <c:varyColors val="0"/>
        <c:ser>
          <c:idx val="0"/>
          <c:order val="0"/>
          <c:tx>
            <c:strRef>
              <c:f>'5. Future_Quantum_Scaling'!$B$40</c:f>
              <c:strCache>
                <c:ptCount val="1"/>
                <c:pt idx="0">
                  <c:v> Practical FTQC </c:v>
                </c:pt>
              </c:strCache>
            </c:strRef>
          </c:tx>
          <c:spPr>
            <a:solidFill>
              <a:schemeClr val="accent2">
                <a:lumMod val="60000"/>
                <a:lumOff val="40000"/>
              </a:schemeClr>
            </a:solidFill>
            <a:ln w="6350">
              <a:solidFill>
                <a:schemeClr val="accent2">
                  <a:lumMod val="75000"/>
                </a:schemeClr>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Future_Quantum_Scaling'!$D$40:$I$40</c:f>
              <c:numCache>
                <c:formatCode>_(* #,##0_);_(* \(#,##0\);_(* "-"??_);_(@_)</c:formatCode>
                <c:ptCount val="6"/>
                <c:pt idx="0">
                  <c:v>1572906.6666666663</c:v>
                </c:pt>
                <c:pt idx="1">
                  <c:v>0</c:v>
                </c:pt>
                <c:pt idx="2">
                  <c:v>0</c:v>
                </c:pt>
                <c:pt idx="3">
                  <c:v>15729066.666666662</c:v>
                </c:pt>
                <c:pt idx="4">
                  <c:v>0</c:v>
                </c:pt>
                <c:pt idx="5">
                  <c:v>0</c:v>
                </c:pt>
              </c:numCache>
            </c:numRef>
          </c:val>
          <c:extLst>
            <c:ext xmlns:c16="http://schemas.microsoft.com/office/drawing/2014/chart" uri="{C3380CC4-5D6E-409C-BE32-E72D297353CC}">
              <c16:uniqueId val="{00000000-98EB-C74A-9BAA-6237186DEBF5}"/>
            </c:ext>
          </c:extLst>
        </c:ser>
        <c:ser>
          <c:idx val="1"/>
          <c:order val="1"/>
          <c:tx>
            <c:strRef>
              <c:f>'5. Future_Quantum_Scaling'!$B$41</c:f>
              <c:strCache>
                <c:ptCount val="1"/>
                <c:pt idx="0">
                  <c:v> Small FTQC </c:v>
                </c:pt>
              </c:strCache>
            </c:strRef>
          </c:tx>
          <c:spPr>
            <a:pattFill prst="lgCheck">
              <a:fgClr>
                <a:schemeClr val="accent2">
                  <a:lumMod val="60000"/>
                  <a:lumOff val="40000"/>
                </a:schemeClr>
              </a:fgClr>
              <a:bgClr>
                <a:schemeClr val="bg1"/>
              </a:bgClr>
            </a:pattFill>
            <a:ln w="3175">
              <a:solidFill>
                <a:schemeClr val="accent2">
                  <a:lumMod val="75000"/>
                </a:schemeClr>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Future_Quantum_Scaling'!$D$41:$I$41</c:f>
              <c:numCache>
                <c:formatCode>_(* #,##0_);_(* \(#,##0\);_(* "-"??_);_(@_)</c:formatCode>
                <c:ptCount val="6"/>
                <c:pt idx="0">
                  <c:v>0</c:v>
                </c:pt>
                <c:pt idx="1">
                  <c:v>4076974.0800000001</c:v>
                </c:pt>
                <c:pt idx="2">
                  <c:v>0</c:v>
                </c:pt>
                <c:pt idx="3">
                  <c:v>0</c:v>
                </c:pt>
                <c:pt idx="4">
                  <c:v>40769740.799999997</c:v>
                </c:pt>
                <c:pt idx="5">
                  <c:v>0</c:v>
                </c:pt>
              </c:numCache>
            </c:numRef>
          </c:val>
          <c:extLst>
            <c:ext xmlns:c16="http://schemas.microsoft.com/office/drawing/2014/chart" uri="{C3380CC4-5D6E-409C-BE32-E72D297353CC}">
              <c16:uniqueId val="{00000001-98EB-C74A-9BAA-6237186DEBF5}"/>
            </c:ext>
          </c:extLst>
        </c:ser>
        <c:ser>
          <c:idx val="2"/>
          <c:order val="2"/>
          <c:tx>
            <c:strRef>
              <c:f>'5. Future_Quantum_Scaling'!$B$42</c:f>
              <c:strCache>
                <c:ptCount val="1"/>
                <c:pt idx="0">
                  <c:v> Large FTQC </c:v>
                </c:pt>
              </c:strCache>
            </c:strRef>
          </c:tx>
          <c:spPr>
            <a:pattFill prst="dkDnDiag">
              <a:fgClr>
                <a:schemeClr val="accent2">
                  <a:lumMod val="60000"/>
                  <a:lumOff val="40000"/>
                </a:schemeClr>
              </a:fgClr>
              <a:bgClr>
                <a:schemeClr val="bg1"/>
              </a:bgClr>
            </a:pattFill>
            <a:ln w="6350">
              <a:solidFill>
                <a:schemeClr val="accent2">
                  <a:lumMod val="75000"/>
                </a:schemeClr>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Future_Quantum_Scaling'!$D$42:$I$42</c:f>
              <c:numCache>
                <c:formatCode>_(* #,##0_);_(* \(#,##0\);_(* "-"??_);_(@_)</c:formatCode>
                <c:ptCount val="6"/>
                <c:pt idx="0">
                  <c:v>0</c:v>
                </c:pt>
                <c:pt idx="1">
                  <c:v>0</c:v>
                </c:pt>
                <c:pt idx="2">
                  <c:v>1415616</c:v>
                </c:pt>
                <c:pt idx="3">
                  <c:v>0</c:v>
                </c:pt>
                <c:pt idx="4">
                  <c:v>0</c:v>
                </c:pt>
                <c:pt idx="5">
                  <c:v>14156160</c:v>
                </c:pt>
              </c:numCache>
            </c:numRef>
          </c:val>
          <c:extLst>
            <c:ext xmlns:c16="http://schemas.microsoft.com/office/drawing/2014/chart" uri="{C3380CC4-5D6E-409C-BE32-E72D297353CC}">
              <c16:uniqueId val="{00000002-98EB-C74A-9BAA-6237186DEBF5}"/>
            </c:ext>
          </c:extLst>
        </c:ser>
        <c:dLbls>
          <c:showLegendKey val="0"/>
          <c:showVal val="0"/>
          <c:showCatName val="0"/>
          <c:showSerName val="0"/>
          <c:showPercent val="0"/>
          <c:showBubbleSize val="0"/>
        </c:dLbls>
        <c:gapWidth val="150"/>
        <c:overlap val="100"/>
        <c:axId val="296250607"/>
        <c:axId val="296682527"/>
      </c:barChart>
      <c:catAx>
        <c:axId val="29625060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682527"/>
        <c:crosses val="autoZero"/>
        <c:auto val="1"/>
        <c:lblAlgn val="ctr"/>
        <c:lblOffset val="100"/>
        <c:noMultiLvlLbl val="0"/>
      </c:catAx>
      <c:valAx>
        <c:axId val="296682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r>
                  <a:rPr lang="en-US"/>
                  <a:t>Nitrogen</a:t>
                </a:r>
              </a:p>
              <a:p>
                <a:pPr>
                  <a:defRPr/>
                </a:pPr>
                <a:r>
                  <a:rPr lang="en-US"/>
                  <a:t>(million liters/year)</a:t>
                </a:r>
              </a:p>
            </c:rich>
          </c:tx>
          <c:layout>
            <c:manualLayout>
              <c:xMode val="edge"/>
              <c:yMode val="edge"/>
              <c:x val="2.0520510107079438E-2"/>
              <c:y val="0.20507144940215807"/>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title>
        <c:numFmt formatCode="_(* #,##0_);_(* \(#,##0\);_(* &quot;-&quot;??_);_(@_)" sourceLinked="1"/>
        <c:majorTickMark val="cross"/>
        <c:minorTickMark val="in"/>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250607"/>
        <c:crosses val="autoZero"/>
        <c:crossBetween val="between"/>
        <c:majorUnit val="10000000"/>
        <c:dispUnits>
          <c:builtInUnit val="millions"/>
          <c:dispUnitsLbl>
            <c:layout>
              <c:manualLayout>
                <c:xMode val="edge"/>
                <c:yMode val="edge"/>
                <c:x val="6.5714131974960982E-2"/>
                <c:y val="2.1979075532225136E-2"/>
              </c:manualLayout>
            </c:layout>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baseline="0">
                      <a:solidFill>
                        <a:sysClr val="windowText" lastClr="000000"/>
                      </a:solidFill>
                      <a:latin typeface="Garamond" panose="02020404030301010803" pitchFamily="18" charset="0"/>
                      <a:ea typeface="+mn-ea"/>
                      <a:cs typeface="+mn-cs"/>
                    </a:defRPr>
                  </a:pPr>
                  <a:r>
                    <a:rPr lang="en-US" sz="1050" b="0" i="0" u="none" strike="noStrike" kern="1200" baseline="0">
                      <a:solidFill>
                        <a:sysClr val="windowText" lastClr="000000"/>
                      </a:solidFill>
                      <a:latin typeface="Garamond" panose="02020404030301010803" pitchFamily="18" charset="0"/>
                    </a:rPr>
                    <a:t>×10⁶</a:t>
                  </a:r>
                </a:p>
              </c:rich>
            </c:tx>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baseline="0">
                    <a:solidFill>
                      <a:sysClr val="windowText" lastClr="000000"/>
                    </a:solidFill>
                    <a:latin typeface="Garamond" panose="02020404030301010803" pitchFamily="18" charset="0"/>
                    <a:ea typeface="+mn-ea"/>
                    <a:cs typeface="+mn-cs"/>
                  </a:defRPr>
                </a:pPr>
                <a:endParaRPr lang="en-US"/>
              </a:p>
            </c:txPr>
          </c:dispUnitsLbl>
        </c:dispUnits>
      </c:valAx>
      <c:spPr>
        <a:noFill/>
        <a:ln>
          <a:noFill/>
        </a:ln>
        <a:effectLst/>
      </c:spPr>
    </c:plotArea>
    <c:legend>
      <c:legendPos val="b"/>
      <c:layout>
        <c:manualLayout>
          <c:xMode val="edge"/>
          <c:yMode val="edge"/>
          <c:x val="0.18142497563658758"/>
          <c:y val="0.8810790317876932"/>
          <c:w val="0.78901033726137304"/>
          <c:h val="8.188393117526976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latin typeface="Garamond" panose="02020404030301010803"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88670166229218"/>
          <c:y val="5.4386482939632545E-2"/>
          <c:w val="0.78455774278215218"/>
          <c:h val="0.60933326042578007"/>
        </c:manualLayout>
      </c:layout>
      <c:barChart>
        <c:barDir val="col"/>
        <c:grouping val="stacked"/>
        <c:varyColors val="0"/>
        <c:ser>
          <c:idx val="0"/>
          <c:order val="0"/>
          <c:tx>
            <c:strRef>
              <c:f>'5. Future_Quantum_Scaling'!$B$48</c:f>
              <c:strCache>
                <c:ptCount val="1"/>
                <c:pt idx="0">
                  <c:v> Practical FTQC </c:v>
                </c:pt>
              </c:strCache>
            </c:strRef>
          </c:tx>
          <c:spPr>
            <a:solidFill>
              <a:srgbClr val="EDE90B"/>
            </a:solidFill>
            <a:ln w="6350">
              <a:solidFill>
                <a:srgbClr val="A2A14D"/>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Future_Quantum_Scaling'!$D$48:$I$48</c:f>
              <c:numCache>
                <c:formatCode>_(* #,##0_);_(* \(#,##0\);_(* "-"??_);_(@_)</c:formatCode>
                <c:ptCount val="6"/>
                <c:pt idx="0">
                  <c:v>4629629.6296296287</c:v>
                </c:pt>
                <c:pt idx="1">
                  <c:v>0</c:v>
                </c:pt>
                <c:pt idx="2">
                  <c:v>0</c:v>
                </c:pt>
                <c:pt idx="3">
                  <c:v>46296296.296296291</c:v>
                </c:pt>
                <c:pt idx="4">
                  <c:v>0</c:v>
                </c:pt>
                <c:pt idx="5">
                  <c:v>0</c:v>
                </c:pt>
              </c:numCache>
            </c:numRef>
          </c:val>
          <c:extLst>
            <c:ext xmlns:c16="http://schemas.microsoft.com/office/drawing/2014/chart" uri="{C3380CC4-5D6E-409C-BE32-E72D297353CC}">
              <c16:uniqueId val="{00000000-CC0A-A246-96A2-8D73B9B3FB45}"/>
            </c:ext>
          </c:extLst>
        </c:ser>
        <c:ser>
          <c:idx val="1"/>
          <c:order val="1"/>
          <c:tx>
            <c:strRef>
              <c:f>'5. Future_Quantum_Scaling'!$B$49</c:f>
              <c:strCache>
                <c:ptCount val="1"/>
                <c:pt idx="0">
                  <c:v> Small FTQC </c:v>
                </c:pt>
              </c:strCache>
            </c:strRef>
          </c:tx>
          <c:spPr>
            <a:pattFill prst="lgCheck">
              <a:fgClr>
                <a:srgbClr val="EDE90B"/>
              </a:fgClr>
              <a:bgClr>
                <a:schemeClr val="bg1"/>
              </a:bgClr>
            </a:pattFill>
            <a:ln w="6350">
              <a:solidFill>
                <a:srgbClr val="A2A14D"/>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Future_Quantum_Scaling'!$D$49:$I$49</c:f>
              <c:numCache>
                <c:formatCode>_(* #,##0_);_(* \(#,##0\);_(* "-"??_);_(@_)</c:formatCode>
                <c:ptCount val="6"/>
                <c:pt idx="0">
                  <c:v>0</c:v>
                </c:pt>
                <c:pt idx="1">
                  <c:v>12000000</c:v>
                </c:pt>
                <c:pt idx="2">
                  <c:v>0</c:v>
                </c:pt>
                <c:pt idx="3">
                  <c:v>0</c:v>
                </c:pt>
                <c:pt idx="4">
                  <c:v>120000000</c:v>
                </c:pt>
                <c:pt idx="5">
                  <c:v>0</c:v>
                </c:pt>
              </c:numCache>
            </c:numRef>
          </c:val>
          <c:extLst>
            <c:ext xmlns:c16="http://schemas.microsoft.com/office/drawing/2014/chart" uri="{C3380CC4-5D6E-409C-BE32-E72D297353CC}">
              <c16:uniqueId val="{00000001-CC0A-A246-96A2-8D73B9B3FB45}"/>
            </c:ext>
          </c:extLst>
        </c:ser>
        <c:ser>
          <c:idx val="2"/>
          <c:order val="2"/>
          <c:tx>
            <c:strRef>
              <c:f>'5. Future_Quantum_Scaling'!$B$50</c:f>
              <c:strCache>
                <c:ptCount val="1"/>
                <c:pt idx="0">
                  <c:v> Large FTQC </c:v>
                </c:pt>
              </c:strCache>
            </c:strRef>
          </c:tx>
          <c:spPr>
            <a:pattFill prst="dkDnDiag">
              <a:fgClr>
                <a:srgbClr val="EDE90B"/>
              </a:fgClr>
              <a:bgClr>
                <a:schemeClr val="bg1"/>
              </a:bgClr>
            </a:pattFill>
            <a:ln w="6350">
              <a:solidFill>
                <a:srgbClr val="A2A14D"/>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Future_Quantum_Scaling'!$D$50:$I$50</c:f>
              <c:numCache>
                <c:formatCode>_(* #,##0_);_(* \(#,##0\);_(* "-"??_);_(@_)</c:formatCode>
                <c:ptCount val="6"/>
                <c:pt idx="0">
                  <c:v>0</c:v>
                </c:pt>
                <c:pt idx="1">
                  <c:v>0</c:v>
                </c:pt>
                <c:pt idx="2">
                  <c:v>4166666.666666667</c:v>
                </c:pt>
                <c:pt idx="3">
                  <c:v>0</c:v>
                </c:pt>
                <c:pt idx="4">
                  <c:v>0</c:v>
                </c:pt>
                <c:pt idx="5">
                  <c:v>41666666.666666672</c:v>
                </c:pt>
              </c:numCache>
            </c:numRef>
          </c:val>
          <c:extLst>
            <c:ext xmlns:c16="http://schemas.microsoft.com/office/drawing/2014/chart" uri="{C3380CC4-5D6E-409C-BE32-E72D297353CC}">
              <c16:uniqueId val="{00000002-CC0A-A246-96A2-8D73B9B3FB45}"/>
            </c:ext>
          </c:extLst>
        </c:ser>
        <c:dLbls>
          <c:showLegendKey val="0"/>
          <c:showVal val="0"/>
          <c:showCatName val="0"/>
          <c:showSerName val="0"/>
          <c:showPercent val="0"/>
          <c:showBubbleSize val="0"/>
        </c:dLbls>
        <c:gapWidth val="150"/>
        <c:overlap val="100"/>
        <c:axId val="296250607"/>
        <c:axId val="296682527"/>
      </c:barChart>
      <c:catAx>
        <c:axId val="29625060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682527"/>
        <c:crosses val="autoZero"/>
        <c:auto val="1"/>
        <c:lblAlgn val="ctr"/>
        <c:lblOffset val="100"/>
        <c:noMultiLvlLbl val="0"/>
      </c:catAx>
      <c:valAx>
        <c:axId val="296682527"/>
        <c:scaling>
          <c:orientation val="minMax"/>
          <c:max val="125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r>
                  <a:rPr lang="en-US"/>
                  <a:t>Liquid Helium-4</a:t>
                </a:r>
              </a:p>
              <a:p>
                <a:pPr>
                  <a:defRPr/>
                </a:pPr>
                <a:r>
                  <a:rPr lang="en-US"/>
                  <a:t>(liters)</a:t>
                </a:r>
              </a:p>
            </c:rich>
          </c:tx>
          <c:layout>
            <c:manualLayout>
              <c:xMode val="edge"/>
              <c:yMode val="edge"/>
              <c:x val="2.0520510107079438E-2"/>
              <c:y val="0.20507144940215807"/>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title>
        <c:numFmt formatCode="_(* #,##0_);_(* \(#,##0\);_(* &quot;-&quot;??_);_(@_)" sourceLinked="1"/>
        <c:majorTickMark val="cross"/>
        <c:minorTickMark val="in"/>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250607"/>
        <c:crosses val="autoZero"/>
        <c:crossBetween val="between"/>
        <c:majorUnit val="25000000"/>
        <c:dispUnits>
          <c:builtInUnit val="millions"/>
          <c:dispUnitsLbl>
            <c:layout>
              <c:manualLayout>
                <c:xMode val="edge"/>
                <c:yMode val="edge"/>
                <c:x val="4.74908973508152E-2"/>
                <c:y val="2.6608705161854769E-2"/>
              </c:manualLayout>
            </c:layout>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baseline="0">
                      <a:solidFill>
                        <a:sysClr val="windowText" lastClr="000000"/>
                      </a:solidFill>
                      <a:latin typeface="Garamond" panose="02020404030301010803" pitchFamily="18" charset="0"/>
                      <a:ea typeface="+mn-ea"/>
                      <a:cs typeface="+mn-cs"/>
                    </a:defRPr>
                  </a:pPr>
                  <a:r>
                    <a:rPr lang="en-US" sz="1050" b="0" i="0" u="none" strike="noStrike" kern="1200" baseline="0">
                      <a:solidFill>
                        <a:sysClr val="windowText" lastClr="000000"/>
                      </a:solidFill>
                      <a:latin typeface="Garamond" panose="02020404030301010803" pitchFamily="18" charset="0"/>
                    </a:rPr>
                    <a:t>×10⁶</a:t>
                  </a:r>
                </a:p>
              </c:rich>
            </c:tx>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baseline="0">
                    <a:solidFill>
                      <a:sysClr val="windowText" lastClr="000000"/>
                    </a:solidFill>
                    <a:latin typeface="Garamond" panose="02020404030301010803" pitchFamily="18" charset="0"/>
                    <a:ea typeface="+mn-ea"/>
                    <a:cs typeface="+mn-cs"/>
                  </a:defRPr>
                </a:pPr>
                <a:endParaRPr lang="en-US"/>
              </a:p>
            </c:txPr>
          </c:dispUnitsLbl>
        </c:dispUnits>
      </c:valAx>
      <c:spPr>
        <a:noFill/>
        <a:ln>
          <a:noFill/>
        </a:ln>
        <a:effectLst/>
      </c:spPr>
    </c:plotArea>
    <c:legend>
      <c:legendPos val="b"/>
      <c:layout>
        <c:manualLayout>
          <c:xMode val="edge"/>
          <c:yMode val="edge"/>
          <c:x val="0.18142497563658758"/>
          <c:y val="0.8810790317876932"/>
          <c:w val="0.78901033726137304"/>
          <c:h val="8.188393117526976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latin typeface="Garamond" panose="02020404030301010803"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88670166229218"/>
          <c:y val="5.4386482939632545E-2"/>
          <c:w val="0.78455774278215218"/>
          <c:h val="0.60933326042578007"/>
        </c:manualLayout>
      </c:layout>
      <c:barChart>
        <c:barDir val="col"/>
        <c:grouping val="stacked"/>
        <c:varyColors val="0"/>
        <c:ser>
          <c:idx val="0"/>
          <c:order val="0"/>
          <c:tx>
            <c:strRef>
              <c:f>'5. Future_Quantum_Scaling'!$B$44</c:f>
              <c:strCache>
                <c:ptCount val="1"/>
                <c:pt idx="0">
                  <c:v> Practical FTQC </c:v>
                </c:pt>
              </c:strCache>
            </c:strRef>
          </c:tx>
          <c:spPr>
            <a:solidFill>
              <a:schemeClr val="accent5">
                <a:lumMod val="40000"/>
                <a:lumOff val="60000"/>
              </a:schemeClr>
            </a:solidFill>
            <a:ln>
              <a:solidFill>
                <a:schemeClr val="accent5"/>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Future_Quantum_Scaling'!$D$44:$I$44</c:f>
              <c:numCache>
                <c:formatCode>_(* #,##0_);_(* \(#,##0\);_(* "-"??_);_(@_)</c:formatCode>
                <c:ptCount val="6"/>
                <c:pt idx="0">
                  <c:v>999999.99999999988</c:v>
                </c:pt>
                <c:pt idx="1">
                  <c:v>0</c:v>
                </c:pt>
                <c:pt idx="2">
                  <c:v>0</c:v>
                </c:pt>
                <c:pt idx="3">
                  <c:v>10000000</c:v>
                </c:pt>
                <c:pt idx="4">
                  <c:v>0</c:v>
                </c:pt>
                <c:pt idx="5">
                  <c:v>0</c:v>
                </c:pt>
              </c:numCache>
            </c:numRef>
          </c:val>
          <c:extLst>
            <c:ext xmlns:c16="http://schemas.microsoft.com/office/drawing/2014/chart" uri="{C3380CC4-5D6E-409C-BE32-E72D297353CC}">
              <c16:uniqueId val="{00000000-6038-C34D-BAED-76A48AED113E}"/>
            </c:ext>
          </c:extLst>
        </c:ser>
        <c:ser>
          <c:idx val="1"/>
          <c:order val="1"/>
          <c:tx>
            <c:strRef>
              <c:f>'5. Future_Quantum_Scaling'!$B$45</c:f>
              <c:strCache>
                <c:ptCount val="1"/>
                <c:pt idx="0">
                  <c:v> Small FTQC </c:v>
                </c:pt>
              </c:strCache>
            </c:strRef>
          </c:tx>
          <c:spPr>
            <a:pattFill prst="lgCheck">
              <a:fgClr>
                <a:schemeClr val="accent5">
                  <a:lumMod val="40000"/>
                  <a:lumOff val="60000"/>
                </a:schemeClr>
              </a:fgClr>
              <a:bgClr>
                <a:schemeClr val="bg1"/>
              </a:bgClr>
            </a:pattFill>
            <a:ln w="6350">
              <a:solidFill>
                <a:schemeClr val="accent5"/>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Future_Quantum_Scaling'!$D$45:$I$45</c:f>
              <c:numCache>
                <c:formatCode>_(* #,##0_);_(* \(#,##0\);_(* "-"??_);_(@_)</c:formatCode>
                <c:ptCount val="6"/>
                <c:pt idx="0">
                  <c:v>0</c:v>
                </c:pt>
                <c:pt idx="1">
                  <c:v>2592000</c:v>
                </c:pt>
                <c:pt idx="2">
                  <c:v>0</c:v>
                </c:pt>
                <c:pt idx="3">
                  <c:v>0</c:v>
                </c:pt>
                <c:pt idx="4">
                  <c:v>25920000</c:v>
                </c:pt>
                <c:pt idx="5">
                  <c:v>0</c:v>
                </c:pt>
              </c:numCache>
            </c:numRef>
          </c:val>
          <c:extLst>
            <c:ext xmlns:c16="http://schemas.microsoft.com/office/drawing/2014/chart" uri="{C3380CC4-5D6E-409C-BE32-E72D297353CC}">
              <c16:uniqueId val="{00000001-6038-C34D-BAED-76A48AED113E}"/>
            </c:ext>
          </c:extLst>
        </c:ser>
        <c:ser>
          <c:idx val="2"/>
          <c:order val="2"/>
          <c:tx>
            <c:strRef>
              <c:f>'5. Future_Quantum_Scaling'!$B$46</c:f>
              <c:strCache>
                <c:ptCount val="1"/>
                <c:pt idx="0">
                  <c:v> Large FTQC </c:v>
                </c:pt>
              </c:strCache>
            </c:strRef>
          </c:tx>
          <c:spPr>
            <a:pattFill prst="dkDnDiag">
              <a:fgClr>
                <a:schemeClr val="accent5">
                  <a:lumMod val="40000"/>
                  <a:lumOff val="60000"/>
                </a:schemeClr>
              </a:fgClr>
              <a:bgClr>
                <a:schemeClr val="bg1"/>
              </a:bgClr>
            </a:pattFill>
            <a:ln w="6350">
              <a:solidFill>
                <a:schemeClr val="accent5"/>
              </a:solidFill>
            </a:ln>
            <a:effectLst/>
          </c:spPr>
          <c:invertIfNegative val="0"/>
          <c:cat>
            <c:multiLvlStrRef>
              <c:f>'5. Future_Quantum_Scaling'!$D$28:$I$29</c:f>
              <c:multiLvlStrCache>
                <c:ptCount val="6"/>
                <c:lvl>
                  <c:pt idx="0">
                    <c:v>   </c:v>
                  </c:pt>
                  <c:pt idx="1">
                    <c:v>   </c:v>
                  </c:pt>
                  <c:pt idx="2">
                    <c:v>   </c:v>
                  </c:pt>
                  <c:pt idx="3">
                    <c:v>   </c:v>
                  </c:pt>
                  <c:pt idx="4">
                    <c:v>   </c:v>
                  </c:pt>
                  <c:pt idx="5">
                    <c:v>   </c:v>
                  </c:pt>
                </c:lvl>
                <c:lvl>
                  <c:pt idx="0">
                    <c:v>Low Penetration</c:v>
                  </c:pt>
                  <c:pt idx="3">
                    <c:v> High Penetration </c:v>
                  </c:pt>
                </c:lvl>
              </c:multiLvlStrCache>
            </c:multiLvlStrRef>
          </c:cat>
          <c:val>
            <c:numRef>
              <c:f>'5. Future_Quantum_Scaling'!$D$46:$I$46</c:f>
              <c:numCache>
                <c:formatCode>_(* #,##0_);_(* \(#,##0\);_(* "-"??_);_(@_)</c:formatCode>
                <c:ptCount val="6"/>
                <c:pt idx="0">
                  <c:v>0</c:v>
                </c:pt>
                <c:pt idx="1">
                  <c:v>0</c:v>
                </c:pt>
                <c:pt idx="2">
                  <c:v>900000.00000000012</c:v>
                </c:pt>
                <c:pt idx="3">
                  <c:v>0</c:v>
                </c:pt>
                <c:pt idx="4">
                  <c:v>0</c:v>
                </c:pt>
                <c:pt idx="5">
                  <c:v>9000000.0000000019</c:v>
                </c:pt>
              </c:numCache>
            </c:numRef>
          </c:val>
          <c:extLst>
            <c:ext xmlns:c16="http://schemas.microsoft.com/office/drawing/2014/chart" uri="{C3380CC4-5D6E-409C-BE32-E72D297353CC}">
              <c16:uniqueId val="{00000002-6038-C34D-BAED-76A48AED113E}"/>
            </c:ext>
          </c:extLst>
        </c:ser>
        <c:dLbls>
          <c:showLegendKey val="0"/>
          <c:showVal val="0"/>
          <c:showCatName val="0"/>
          <c:showSerName val="0"/>
          <c:showPercent val="0"/>
          <c:showBubbleSize val="0"/>
        </c:dLbls>
        <c:gapWidth val="150"/>
        <c:overlap val="100"/>
        <c:axId val="296250607"/>
        <c:axId val="296682527"/>
      </c:barChart>
      <c:catAx>
        <c:axId val="29625060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682527"/>
        <c:crosses val="autoZero"/>
        <c:auto val="1"/>
        <c:lblAlgn val="ctr"/>
        <c:lblOffset val="100"/>
        <c:noMultiLvlLbl val="0"/>
      </c:catAx>
      <c:valAx>
        <c:axId val="296682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r>
                  <a:rPr lang="en-US"/>
                  <a:t>Isotope</a:t>
                </a:r>
                <a:r>
                  <a:rPr lang="en-US" baseline="0"/>
                  <a:t> </a:t>
                </a:r>
                <a:r>
                  <a:rPr lang="en-US"/>
                  <a:t>Helium-3</a:t>
                </a:r>
              </a:p>
              <a:p>
                <a:pPr>
                  <a:defRPr/>
                </a:pPr>
                <a:r>
                  <a:rPr lang="en-US"/>
                  <a:t>(liters)</a:t>
                </a:r>
              </a:p>
            </c:rich>
          </c:tx>
          <c:layout>
            <c:manualLayout>
              <c:xMode val="edge"/>
              <c:yMode val="edge"/>
              <c:x val="2.0520510107079438E-2"/>
              <c:y val="0.20507144940215807"/>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title>
        <c:numFmt formatCode="_(* #,##0_);_(* \(#,##0\);_(* &quot;-&quot;??_);_(@_)" sourceLinked="1"/>
        <c:majorTickMark val="cross"/>
        <c:minorTickMark val="in"/>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crossAx val="296250607"/>
        <c:crosses val="autoZero"/>
        <c:crossBetween val="between"/>
        <c:majorUnit val="10000000"/>
        <c:dispUnits>
          <c:builtInUnit val="millions"/>
          <c:dispUnitsLbl>
            <c:layout>
              <c:manualLayout>
                <c:xMode val="edge"/>
                <c:yMode val="edge"/>
                <c:x val="4.74908973508152E-2"/>
                <c:y val="2.6608705161854769E-2"/>
              </c:manualLayout>
            </c:layout>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baseline="0">
                      <a:solidFill>
                        <a:sysClr val="windowText" lastClr="000000"/>
                      </a:solidFill>
                      <a:latin typeface="Garamond" panose="02020404030301010803" pitchFamily="18" charset="0"/>
                      <a:ea typeface="+mn-ea"/>
                      <a:cs typeface="+mn-cs"/>
                    </a:defRPr>
                  </a:pPr>
                  <a:r>
                    <a:rPr lang="en-US" sz="1050" b="0" i="0" u="none" strike="noStrike" kern="1200" baseline="0">
                      <a:solidFill>
                        <a:sysClr val="windowText" lastClr="000000"/>
                      </a:solidFill>
                      <a:latin typeface="Garamond" panose="02020404030301010803" pitchFamily="18" charset="0"/>
                    </a:rPr>
                    <a:t>×10⁶</a:t>
                  </a:r>
                </a:p>
              </c:rich>
            </c:tx>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baseline="0">
                    <a:solidFill>
                      <a:sysClr val="windowText" lastClr="000000"/>
                    </a:solidFill>
                    <a:latin typeface="Garamond" panose="02020404030301010803" pitchFamily="18" charset="0"/>
                    <a:ea typeface="+mn-ea"/>
                    <a:cs typeface="+mn-cs"/>
                  </a:defRPr>
                </a:pPr>
                <a:endParaRPr lang="en-US"/>
              </a:p>
            </c:txPr>
          </c:dispUnitsLbl>
        </c:dispUnits>
      </c:valAx>
      <c:spPr>
        <a:noFill/>
        <a:ln>
          <a:noFill/>
        </a:ln>
        <a:effectLst/>
      </c:spPr>
    </c:plotArea>
    <c:legend>
      <c:legendPos val="b"/>
      <c:layout>
        <c:manualLayout>
          <c:xMode val="edge"/>
          <c:yMode val="edge"/>
          <c:x val="0.18142497563658758"/>
          <c:y val="0.8810790317876932"/>
          <c:w val="0.78901033726137304"/>
          <c:h val="8.188393117526976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15</xdr:row>
      <xdr:rowOff>190501</xdr:rowOff>
    </xdr:from>
    <xdr:ext cx="10639136" cy="1297919"/>
    <xdr:sp macro="" textlink="">
      <xdr:nvSpPr>
        <xdr:cNvPr id="2" name="TextBox 1">
          <a:extLst>
            <a:ext uri="{FF2B5EF4-FFF2-40B4-BE49-F238E27FC236}">
              <a16:creationId xmlns:a16="http://schemas.microsoft.com/office/drawing/2014/main" id="{AD925401-CFDD-375A-FFFB-F6DA247ADD8B}"/>
            </a:ext>
          </a:extLst>
        </xdr:cNvPr>
        <xdr:cNvSpPr txBox="1"/>
      </xdr:nvSpPr>
      <xdr:spPr>
        <a:xfrm>
          <a:off x="0" y="3377046"/>
          <a:ext cx="10639136" cy="129791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t>This work has received funding from the University of Tennessee – Oak Ridge Innovation Institute (UT-ORII). The views expressed represent the authors alone, and do not necessarily reflect those of Oak Ridge National Laboratory, U.S. Department of Energy, or University of Tennessee. We thank the following ORNL colleagues for advice and support over the course of this study: Dave Rasmussen, Chris Marcus, Ketan Choukekar, AB Siddik, Adam Carroll, Travis Humble, Warren Grice, Nick Peters, Bronson Messer, Jim Rogers, Woong Shin, Colby Earles, Jeremy Busby, Jacob Morris, Steve Peterson, Terri Cleveland, Rian Lewis, Mark Connell, Rob Crowell, Claire Marvinney, David Sholl, Kate Evans, Grace Martinez, Anna Galyon. In addition, we thank the following colleagues within the community: Charles Sims (UTK), Marianne Wanamaker (UTK), Greg Tatkowski (Fermilab), Robert Goodin (USGS), Clay Almy (Global Quantum Intelligence), Bill Halperin (Northwestern University), Mark Elsesser (American Physical Society), Moses Chan (Pennsylvania State University), Billy Roberts (NREL), Arman Shehabi (LBNL), Eric Masanet (UC Berkeley), Tom Wilson (EPRI), Joe Keefe (Ostergaard Acoustical Associates), Joseph Horesco (Acentech), </a:t>
          </a:r>
          <a:r>
            <a:rPr lang="en-US" sz="1100">
              <a:solidFill>
                <a:schemeClr val="tx1"/>
              </a:solidFill>
              <a:effectLst/>
              <a:latin typeface="+mn-lt"/>
              <a:ea typeface="+mn-ea"/>
              <a:cs typeface="+mn-cs"/>
            </a:rPr>
            <a:t>Ralph T. Muehleisen</a:t>
          </a:r>
          <a:r>
            <a:rPr lang="en-US" sz="1100" baseline="0">
              <a:solidFill>
                <a:schemeClr val="tx1"/>
              </a:solidFill>
              <a:effectLst/>
              <a:latin typeface="+mn-lt"/>
              <a:ea typeface="+mn-ea"/>
              <a:cs typeface="+mn-cs"/>
            </a:rPr>
            <a:t> (ANL), and </a:t>
          </a:r>
          <a:r>
            <a:rPr lang="en-US" sz="1100">
              <a:solidFill>
                <a:schemeClr val="tx1"/>
              </a:solidFill>
              <a:effectLst/>
              <a:latin typeface="+mn-lt"/>
              <a:ea typeface="+mn-ea"/>
              <a:cs typeface="+mn-cs"/>
            </a:rPr>
            <a:t>Laura Appenzeller</a:t>
          </a:r>
          <a:r>
            <a:rPr lang="en-US" sz="1100" baseline="0">
              <a:solidFill>
                <a:schemeClr val="tx1"/>
              </a:solidFill>
              <a:effectLst/>
              <a:latin typeface="+mn-lt"/>
              <a:ea typeface="+mn-ea"/>
              <a:cs typeface="+mn-cs"/>
            </a:rPr>
            <a:t> (UIUC).</a:t>
          </a:r>
          <a:endParaRPr lang="en-US" sz="1100">
            <a:solidFill>
              <a:schemeClr val="tx1"/>
            </a:solidFill>
            <a:effectLst/>
            <a:latin typeface="+mn-lt"/>
            <a:ea typeface="+mn-ea"/>
            <a:cs typeface="+mn-cs"/>
          </a:endParaRPr>
        </a:p>
      </xdr:txBody>
    </xdr:sp>
    <xdr:clientData/>
  </xdr:oneCellAnchor>
  <xdr:oneCellAnchor>
    <xdr:from>
      <xdr:col>1</xdr:col>
      <xdr:colOff>0</xdr:colOff>
      <xdr:row>9</xdr:row>
      <xdr:rowOff>190502</xdr:rowOff>
    </xdr:from>
    <xdr:ext cx="10523682" cy="264560"/>
    <xdr:sp macro="" textlink="">
      <xdr:nvSpPr>
        <xdr:cNvPr id="3" name="TextBox 2">
          <a:extLst>
            <a:ext uri="{FF2B5EF4-FFF2-40B4-BE49-F238E27FC236}">
              <a16:creationId xmlns:a16="http://schemas.microsoft.com/office/drawing/2014/main" id="{1E2C2532-6765-064D-B9BA-3B4EE9E9FDA6}"/>
            </a:ext>
          </a:extLst>
        </xdr:cNvPr>
        <xdr:cNvSpPr txBox="1"/>
      </xdr:nvSpPr>
      <xdr:spPr>
        <a:xfrm>
          <a:off x="0" y="2164775"/>
          <a:ext cx="10523682"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t>McCollum et al., (2026). Energy and Physical Resource Impacts of Quantum Computing at Scale. </a:t>
          </a:r>
          <a:r>
            <a:rPr lang="en-US" sz="1100">
              <a:solidFill>
                <a:srgbClr val="FF0000"/>
              </a:solidFill>
            </a:rPr>
            <a:t>JOURNAL NAME. DOI/ISSUE/VOLUME/PAGE NUMBER (TBD)</a:t>
          </a:r>
          <a:endParaRPr lang="en-US" sz="1100">
            <a:solidFill>
              <a:srgbClr val="FF0000"/>
            </a:solidFill>
            <a:effectLst/>
            <a:latin typeface="+mn-lt"/>
            <a:ea typeface="+mn-ea"/>
            <a:cs typeface="+mn-cs"/>
          </a:endParaRPr>
        </a:p>
      </xdr:txBody>
    </xdr:sp>
    <xdr:clientData/>
  </xdr:oneCellAnchor>
  <xdr:oneCellAnchor>
    <xdr:from>
      <xdr:col>1</xdr:col>
      <xdr:colOff>1</xdr:colOff>
      <xdr:row>12</xdr:row>
      <xdr:rowOff>190499</xdr:rowOff>
    </xdr:from>
    <xdr:ext cx="10483272" cy="436786"/>
    <xdr:sp macro="" textlink="">
      <xdr:nvSpPr>
        <xdr:cNvPr id="4" name="TextBox 3">
          <a:extLst>
            <a:ext uri="{FF2B5EF4-FFF2-40B4-BE49-F238E27FC236}">
              <a16:creationId xmlns:a16="http://schemas.microsoft.com/office/drawing/2014/main" id="{63F8E866-6F09-C142-B362-4E94B418A488}"/>
            </a:ext>
          </a:extLst>
        </xdr:cNvPr>
        <xdr:cNvSpPr txBox="1"/>
      </xdr:nvSpPr>
      <xdr:spPr>
        <a:xfrm>
          <a:off x="1" y="2770908"/>
          <a:ext cx="10483272" cy="436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t>David McCollum, Soumendra Bhanja, Sarah Chehade, Andrea Delgado, Melrose Pan, Naushita Sharma, Weijun Yao</a:t>
          </a:r>
          <a:br>
            <a:rPr lang="en-US" sz="1100"/>
          </a:br>
          <a:r>
            <a:rPr lang="en-US" sz="1100">
              <a:solidFill>
                <a:srgbClr val="FF0000"/>
              </a:solidFill>
            </a:rPr>
            <a:t>(</a:t>
          </a:r>
          <a:r>
            <a:rPr lang="en-US" sz="1050" i="1">
              <a:solidFill>
                <a:srgbClr val="FF0000"/>
              </a:solidFill>
            </a:rPr>
            <a:t>NS: Kept same as the Commentary Paper, Author order as surnames in alphabetical order. Please change as necessary.)</a:t>
          </a:r>
          <a:endParaRPr lang="en-US" sz="1100" i="1">
            <a:solidFill>
              <a:srgbClr val="FF0000"/>
            </a:solidFill>
            <a:effectLst/>
            <a:latin typeface="+mn-lt"/>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447675</xdr:colOff>
      <xdr:row>4</xdr:row>
      <xdr:rowOff>200025</xdr:rowOff>
    </xdr:from>
    <xdr:to>
      <xdr:col>18</xdr:col>
      <xdr:colOff>60218</xdr:colOff>
      <xdr:row>9</xdr:row>
      <xdr:rowOff>2216150</xdr:rowOff>
    </xdr:to>
    <xdr:pic>
      <xdr:nvPicPr>
        <xdr:cNvPr id="8" name="Picture 2">
          <a:extLst>
            <a:ext uri="{FF2B5EF4-FFF2-40B4-BE49-F238E27FC236}">
              <a16:creationId xmlns:a16="http://schemas.microsoft.com/office/drawing/2014/main" id="{0DBE0499-62D2-91D9-037D-A5C0C96B43F5}"/>
            </a:ext>
          </a:extLst>
        </xdr:cNvPr>
        <xdr:cNvPicPr>
          <a:picLocks noChangeAspect="1"/>
        </xdr:cNvPicPr>
      </xdr:nvPicPr>
      <xdr:blipFill>
        <a:blip xmlns:r="http://schemas.openxmlformats.org/officeDocument/2006/relationships" r:embed="rId1"/>
        <a:stretch>
          <a:fillRect/>
        </a:stretch>
      </xdr:blipFill>
      <xdr:spPr>
        <a:xfrm>
          <a:off x="16192500" y="2305050"/>
          <a:ext cx="7626243" cy="404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20</xdr:col>
      <xdr:colOff>221829</xdr:colOff>
      <xdr:row>26</xdr:row>
      <xdr:rowOff>101736</xdr:rowOff>
    </xdr:from>
    <xdr:to>
      <xdr:col>27</xdr:col>
      <xdr:colOff>217860</xdr:colOff>
      <xdr:row>34</xdr:row>
      <xdr:rowOff>191116</xdr:rowOff>
    </xdr:to>
    <xdr:graphicFrame macro="">
      <xdr:nvGraphicFramePr>
        <xdr:cNvPr id="11" name="Chart 7">
          <a:extLst>
            <a:ext uri="{FF2B5EF4-FFF2-40B4-BE49-F238E27FC236}">
              <a16:creationId xmlns:a16="http://schemas.microsoft.com/office/drawing/2014/main" id="{AEC6BC12-B6FA-F63D-57AD-A449EA9D3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3175</xdr:colOff>
      <xdr:row>3</xdr:row>
      <xdr:rowOff>47625</xdr:rowOff>
    </xdr:from>
    <xdr:to>
      <xdr:col>17</xdr:col>
      <xdr:colOff>222250</xdr:colOff>
      <xdr:row>9</xdr:row>
      <xdr:rowOff>517525</xdr:rowOff>
    </xdr:to>
    <xdr:graphicFrame macro="">
      <xdr:nvGraphicFramePr>
        <xdr:cNvPr id="2" name="Chart 11">
          <a:extLst>
            <a:ext uri="{FF2B5EF4-FFF2-40B4-BE49-F238E27FC236}">
              <a16:creationId xmlns:a16="http://schemas.microsoft.com/office/drawing/2014/main" id="{01BF07AC-D106-AE6A-CDD5-AF8EBCE03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546100</xdr:colOff>
      <xdr:row>3</xdr:row>
      <xdr:rowOff>6350</xdr:rowOff>
    </xdr:from>
    <xdr:to>
      <xdr:col>25</xdr:col>
      <xdr:colOff>104775</xdr:colOff>
      <xdr:row>9</xdr:row>
      <xdr:rowOff>476250</xdr:rowOff>
    </xdr:to>
    <xdr:graphicFrame macro="">
      <xdr:nvGraphicFramePr>
        <xdr:cNvPr id="3" name="Chart 13">
          <a:extLst>
            <a:ext uri="{FF2B5EF4-FFF2-40B4-BE49-F238E27FC236}">
              <a16:creationId xmlns:a16="http://schemas.microsoft.com/office/drawing/2014/main" id="{090142C0-346B-EC4A-A335-3F86DD641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11</xdr:row>
      <xdr:rowOff>0</xdr:rowOff>
    </xdr:from>
    <xdr:to>
      <xdr:col>17</xdr:col>
      <xdr:colOff>219075</xdr:colOff>
      <xdr:row>19</xdr:row>
      <xdr:rowOff>152400</xdr:rowOff>
    </xdr:to>
    <xdr:graphicFrame macro="">
      <xdr:nvGraphicFramePr>
        <xdr:cNvPr id="10" name="Chart 14">
          <a:extLst>
            <a:ext uri="{FF2B5EF4-FFF2-40B4-BE49-F238E27FC236}">
              <a16:creationId xmlns:a16="http://schemas.microsoft.com/office/drawing/2014/main" id="{811900BC-5460-9244-9201-4D8B96E41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11</xdr:row>
      <xdr:rowOff>0</xdr:rowOff>
    </xdr:from>
    <xdr:to>
      <xdr:col>25</xdr:col>
      <xdr:colOff>219075</xdr:colOff>
      <xdr:row>19</xdr:row>
      <xdr:rowOff>152400</xdr:rowOff>
    </xdr:to>
    <xdr:graphicFrame macro="">
      <xdr:nvGraphicFramePr>
        <xdr:cNvPr id="5" name="Chart 15">
          <a:extLst>
            <a:ext uri="{FF2B5EF4-FFF2-40B4-BE49-F238E27FC236}">
              <a16:creationId xmlns:a16="http://schemas.microsoft.com/office/drawing/2014/main" id="{DC77E551-79A3-C54E-B166-799064867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323850</xdr:colOff>
      <xdr:row>23</xdr:row>
      <xdr:rowOff>165100</xdr:rowOff>
    </xdr:from>
    <xdr:to>
      <xdr:col>17</xdr:col>
      <xdr:colOff>34925</xdr:colOff>
      <xdr:row>37</xdr:row>
      <xdr:rowOff>165100</xdr:rowOff>
    </xdr:to>
    <xdr:graphicFrame macro="">
      <xdr:nvGraphicFramePr>
        <xdr:cNvPr id="6" name="Chart 16">
          <a:extLst>
            <a:ext uri="{FF2B5EF4-FFF2-40B4-BE49-F238E27FC236}">
              <a16:creationId xmlns:a16="http://schemas.microsoft.com/office/drawing/2014/main" id="{43520B9E-CF4E-E243-96BB-6F1C795E4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3050-8690-4457-AA3B-BFC1B42539D2}">
  <dimension ref="B1:N36"/>
  <sheetViews>
    <sheetView tabSelected="1" workbookViewId="0"/>
  </sheetViews>
  <sheetFormatPr defaultColWidth="8.875" defaultRowHeight="15.75"/>
  <cols>
    <col min="1" max="1" width="3.875" style="18" customWidth="1"/>
    <col min="2" max="2" width="11.625" style="18" customWidth="1"/>
    <col min="3" max="3" width="40.125" style="18" bestFit="1" customWidth="1"/>
    <col min="4" max="4" width="56.5" style="18" customWidth="1"/>
    <col min="5" max="5" width="12.375" style="18" customWidth="1"/>
    <col min="6" max="6" width="11.375" style="18" customWidth="1"/>
    <col min="7" max="7" width="12.125" style="18" customWidth="1"/>
    <col min="8" max="16384" width="8.875" style="18"/>
  </cols>
  <sheetData>
    <row r="1" spans="2:14" ht="16.5" thickBot="1"/>
    <row r="2" spans="2:14" ht="41.25" customHeight="1" thickBot="1">
      <c r="B2" s="478" t="s">
        <v>91</v>
      </c>
      <c r="C2" s="479"/>
      <c r="D2" s="479"/>
      <c r="E2" s="479"/>
      <c r="F2" s="479"/>
      <c r="G2" s="479"/>
      <c r="H2" s="479"/>
      <c r="I2" s="479"/>
      <c r="J2" s="480"/>
    </row>
    <row r="3" spans="2:14" ht="27" customHeight="1" thickBot="1">
      <c r="B3" s="368" t="s">
        <v>96</v>
      </c>
      <c r="C3" s="369" t="s">
        <v>97</v>
      </c>
      <c r="D3" s="368" t="s">
        <v>100</v>
      </c>
      <c r="E3" s="485" t="s">
        <v>98</v>
      </c>
      <c r="F3" s="486"/>
      <c r="G3" s="486"/>
      <c r="H3" s="486"/>
      <c r="I3" s="486"/>
      <c r="J3" s="487"/>
    </row>
    <row r="4" spans="2:14" ht="34.5" customHeight="1">
      <c r="B4" s="370" t="s">
        <v>87</v>
      </c>
      <c r="C4" s="383" t="s">
        <v>92</v>
      </c>
      <c r="D4" s="383" t="s">
        <v>183</v>
      </c>
      <c r="E4" s="488" t="s">
        <v>104</v>
      </c>
      <c r="F4" s="489"/>
      <c r="G4" s="489"/>
      <c r="H4" s="489"/>
      <c r="I4" s="489"/>
      <c r="J4" s="490"/>
    </row>
    <row r="5" spans="2:14" ht="34.5" customHeight="1">
      <c r="B5" s="371" t="s">
        <v>93</v>
      </c>
      <c r="C5" s="381" t="s">
        <v>181</v>
      </c>
      <c r="D5" s="371" t="s">
        <v>171</v>
      </c>
      <c r="E5" s="491" t="s">
        <v>184</v>
      </c>
      <c r="F5" s="492"/>
      <c r="G5" s="492"/>
      <c r="H5" s="492"/>
      <c r="I5" s="492"/>
      <c r="J5" s="493"/>
    </row>
    <row r="6" spans="2:14" ht="34.5" customHeight="1">
      <c r="B6" s="372" t="s">
        <v>94</v>
      </c>
      <c r="C6" s="382" t="s">
        <v>182</v>
      </c>
      <c r="D6" s="372" t="s">
        <v>140</v>
      </c>
      <c r="E6" s="494" t="s">
        <v>185</v>
      </c>
      <c r="F6" s="495"/>
      <c r="G6" s="495"/>
      <c r="H6" s="495"/>
      <c r="I6" s="495"/>
      <c r="J6" s="496"/>
    </row>
    <row r="7" spans="2:14" ht="34.5" customHeight="1">
      <c r="B7" s="373" t="s">
        <v>105</v>
      </c>
      <c r="C7" s="373" t="s">
        <v>95</v>
      </c>
      <c r="D7" s="373" t="s">
        <v>173</v>
      </c>
      <c r="E7" s="497" t="s">
        <v>186</v>
      </c>
      <c r="F7" s="498"/>
      <c r="G7" s="498"/>
      <c r="H7" s="498"/>
      <c r="I7" s="498"/>
      <c r="J7" s="499"/>
    </row>
    <row r="8" spans="2:14" ht="34.5" customHeight="1" thickBot="1">
      <c r="B8" s="374" t="s">
        <v>125</v>
      </c>
      <c r="C8" s="374" t="s">
        <v>106</v>
      </c>
      <c r="D8" s="374" t="s">
        <v>139</v>
      </c>
      <c r="E8" s="481" t="s">
        <v>107</v>
      </c>
      <c r="F8" s="482"/>
      <c r="G8" s="482"/>
      <c r="H8" s="482"/>
      <c r="I8" s="482"/>
      <c r="J8" s="483"/>
    </row>
    <row r="9" spans="2:14">
      <c r="B9" s="44"/>
      <c r="C9" s="44"/>
      <c r="D9" s="44"/>
      <c r="E9" s="45"/>
      <c r="F9" s="45"/>
      <c r="G9" s="45"/>
      <c r="H9" s="45"/>
      <c r="I9" s="45"/>
      <c r="J9" s="45"/>
    </row>
    <row r="10" spans="2:14">
      <c r="B10" s="19" t="s">
        <v>89</v>
      </c>
      <c r="C10" s="19"/>
      <c r="D10" s="19"/>
    </row>
    <row r="13" spans="2:14">
      <c r="B13" s="19" t="s">
        <v>90</v>
      </c>
      <c r="C13" s="19"/>
      <c r="D13" s="19"/>
      <c r="N13" s="20"/>
    </row>
    <row r="14" spans="2:14">
      <c r="N14" s="20"/>
    </row>
    <row r="16" spans="2:14">
      <c r="B16" s="19" t="s">
        <v>88</v>
      </c>
      <c r="C16" s="19"/>
      <c r="D16" s="19"/>
    </row>
    <row r="17" spans="2:12">
      <c r="B17" s="484"/>
      <c r="C17" s="484"/>
      <c r="D17" s="484"/>
      <c r="E17" s="484"/>
      <c r="F17" s="484"/>
      <c r="G17" s="484"/>
      <c r="H17" s="484"/>
      <c r="I17" s="484"/>
      <c r="J17" s="484"/>
      <c r="K17" s="484"/>
      <c r="L17" s="484"/>
    </row>
    <row r="24" spans="2:12">
      <c r="B24" s="19" t="s">
        <v>126</v>
      </c>
    </row>
    <row r="25" spans="2:12">
      <c r="B25" s="69" t="s">
        <v>142</v>
      </c>
    </row>
    <row r="27" spans="2:12" ht="20.25" customHeight="1">
      <c r="B27" s="375" t="s">
        <v>110</v>
      </c>
      <c r="C27" s="376"/>
    </row>
    <row r="28" spans="2:12" ht="20.25" customHeight="1">
      <c r="B28" s="377" t="s">
        <v>38</v>
      </c>
      <c r="C28" s="395" t="s">
        <v>203</v>
      </c>
    </row>
    <row r="29" spans="2:12" ht="20.25" customHeight="1">
      <c r="B29" s="377" t="s">
        <v>114</v>
      </c>
      <c r="C29" s="395" t="s">
        <v>202</v>
      </c>
    </row>
    <row r="30" spans="2:12" ht="20.25" customHeight="1">
      <c r="B30" s="377" t="s">
        <v>5</v>
      </c>
      <c r="C30" s="378" t="s">
        <v>122</v>
      </c>
    </row>
    <row r="31" spans="2:12" ht="20.25" customHeight="1">
      <c r="B31" s="377" t="s">
        <v>6</v>
      </c>
      <c r="C31" s="378" t="s">
        <v>112</v>
      </c>
    </row>
    <row r="32" spans="2:12" ht="20.25" customHeight="1">
      <c r="B32" s="377" t="s">
        <v>115</v>
      </c>
      <c r="C32" s="378" t="s">
        <v>111</v>
      </c>
    </row>
    <row r="33" spans="2:3" ht="20.25" customHeight="1">
      <c r="B33" s="377" t="s">
        <v>116</v>
      </c>
      <c r="C33" s="378" t="s">
        <v>113</v>
      </c>
    </row>
    <row r="34" spans="2:3" ht="20.25" customHeight="1">
      <c r="B34" s="394" t="s">
        <v>200</v>
      </c>
      <c r="C34" s="395" t="s">
        <v>201</v>
      </c>
    </row>
    <row r="35" spans="2:3" ht="20.25" customHeight="1">
      <c r="B35" s="377" t="s">
        <v>123</v>
      </c>
      <c r="C35" s="378" t="s">
        <v>124</v>
      </c>
    </row>
    <row r="36" spans="2:3" ht="20.25" customHeight="1">
      <c r="B36" s="379" t="s">
        <v>141</v>
      </c>
      <c r="C36" s="380" t="s">
        <v>180</v>
      </c>
    </row>
  </sheetData>
  <sheetProtection formatCells="0" formatColumns="0" formatRows="0" insertColumns="0" insertRows="0" insertHyperlinks="0" deleteColumns="0" deleteRows="0" sort="0" autoFilter="0" pivotTables="0"/>
  <mergeCells count="8">
    <mergeCell ref="B2:J2"/>
    <mergeCell ref="E8:J8"/>
    <mergeCell ref="B17:L17"/>
    <mergeCell ref="E3:J3"/>
    <mergeCell ref="E4:J4"/>
    <mergeCell ref="E5:J5"/>
    <mergeCell ref="E6:J6"/>
    <mergeCell ref="E7:J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sheetPr>
  <dimension ref="B1:R22"/>
  <sheetViews>
    <sheetView zoomScale="130" workbookViewId="0"/>
  </sheetViews>
  <sheetFormatPr defaultColWidth="8.625" defaultRowHeight="15"/>
  <cols>
    <col min="1" max="1" width="2.625" style="24" customWidth="1"/>
    <col min="2" max="2" width="31.875" style="24" customWidth="1"/>
    <col min="3" max="3" width="22.5" style="24" customWidth="1"/>
    <col min="4" max="4" width="17.125" style="24" customWidth="1"/>
    <col min="5" max="5" width="21.375" style="24" customWidth="1"/>
    <col min="6" max="6" width="111.125" style="24" customWidth="1"/>
    <col min="7" max="7" width="9.875" style="24" customWidth="1"/>
    <col min="8" max="16384" width="8.625" style="24"/>
  </cols>
  <sheetData>
    <row r="1" spans="2:18" ht="27" customHeight="1" thickBot="1">
      <c r="B1" s="502" t="s">
        <v>183</v>
      </c>
      <c r="C1" s="502"/>
      <c r="D1" s="502"/>
      <c r="E1" s="502"/>
      <c r="F1" s="502"/>
    </row>
    <row r="2" spans="2:18" ht="18" customHeight="1" thickBot="1">
      <c r="B2" s="388" t="s">
        <v>99</v>
      </c>
      <c r="C2" s="388" t="s">
        <v>8</v>
      </c>
      <c r="D2" s="388" t="s">
        <v>108</v>
      </c>
      <c r="E2" s="388" t="s">
        <v>109</v>
      </c>
      <c r="F2" s="500" t="s">
        <v>189</v>
      </c>
    </row>
    <row r="3" spans="2:18" ht="75.75" customHeight="1" thickBot="1">
      <c r="B3" s="384" t="s">
        <v>226</v>
      </c>
      <c r="C3" s="30" t="s">
        <v>86</v>
      </c>
      <c r="D3" s="28" t="s">
        <v>11</v>
      </c>
      <c r="E3" s="385" t="s">
        <v>265</v>
      </c>
      <c r="F3" s="501"/>
    </row>
    <row r="4" spans="2:18" ht="45">
      <c r="B4" s="35" t="s">
        <v>12</v>
      </c>
      <c r="C4" s="31">
        <v>200</v>
      </c>
      <c r="D4" s="29">
        <v>2000</v>
      </c>
      <c r="E4" s="38">
        <v>5000</v>
      </c>
      <c r="F4" s="386" t="s">
        <v>187</v>
      </c>
      <c r="H4" s="503" t="s">
        <v>257</v>
      </c>
      <c r="I4" s="504"/>
      <c r="J4" s="504"/>
      <c r="K4" s="504"/>
      <c r="L4" s="504"/>
      <c r="M4" s="504"/>
      <c r="N4" s="504"/>
      <c r="O4" s="504"/>
      <c r="P4" s="504"/>
      <c r="Q4" s="504"/>
      <c r="R4" s="504"/>
    </row>
    <row r="5" spans="2:18" ht="45">
      <c r="B5" s="48" t="s">
        <v>121</v>
      </c>
      <c r="C5" s="32">
        <v>500</v>
      </c>
      <c r="D5" s="21">
        <f>10^3</f>
        <v>1000</v>
      </c>
      <c r="E5" s="39">
        <v>2000</v>
      </c>
      <c r="F5" s="387" t="s">
        <v>188</v>
      </c>
    </row>
    <row r="6" spans="2:18" ht="30">
      <c r="B6" s="47" t="s">
        <v>31</v>
      </c>
      <c r="C6" s="32" t="s">
        <v>13</v>
      </c>
      <c r="D6" s="21" t="s">
        <v>14</v>
      </c>
      <c r="E6" s="40" t="s">
        <v>15</v>
      </c>
      <c r="F6" s="387" t="s">
        <v>190</v>
      </c>
    </row>
    <row r="7" spans="2:18">
      <c r="B7" s="37" t="s">
        <v>16</v>
      </c>
      <c r="C7" s="33">
        <f>C4*C5</f>
        <v>100000</v>
      </c>
      <c r="D7" s="22">
        <f>D4*D5</f>
        <v>2000000</v>
      </c>
      <c r="E7" s="41">
        <f>E4*E5</f>
        <v>10000000</v>
      </c>
      <c r="F7" s="43" t="s">
        <v>26</v>
      </c>
    </row>
    <row r="8" spans="2:18" ht="45">
      <c r="B8" s="47" t="s">
        <v>120</v>
      </c>
      <c r="C8" s="33">
        <f>1*(C7)</f>
        <v>100000</v>
      </c>
      <c r="D8" s="22">
        <f>1*(D7)</f>
        <v>2000000</v>
      </c>
      <c r="E8" s="41">
        <f>1*(E7)</f>
        <v>10000000</v>
      </c>
      <c r="F8" s="387" t="s">
        <v>191</v>
      </c>
    </row>
    <row r="9" spans="2:18">
      <c r="B9" s="47" t="s">
        <v>119</v>
      </c>
      <c r="C9" s="33">
        <f>C7+C8</f>
        <v>200000</v>
      </c>
      <c r="D9" s="22">
        <f>D7+D8</f>
        <v>4000000</v>
      </c>
      <c r="E9" s="41">
        <f>E7+E8</f>
        <v>20000000</v>
      </c>
      <c r="F9" s="43" t="s">
        <v>26</v>
      </c>
    </row>
    <row r="10" spans="2:18" ht="252" customHeight="1">
      <c r="B10" s="47" t="s">
        <v>118</v>
      </c>
      <c r="C10" s="34">
        <v>1.7</v>
      </c>
      <c r="D10" s="23">
        <v>1.7</v>
      </c>
      <c r="E10" s="42">
        <v>5</v>
      </c>
      <c r="F10" s="475" t="s">
        <v>259</v>
      </c>
      <c r="G10" s="439"/>
    </row>
    <row r="11" spans="2:18" ht="90">
      <c r="B11" s="36" t="s">
        <v>17</v>
      </c>
      <c r="C11" s="32">
        <f>1080*C12</f>
        <v>3240</v>
      </c>
      <c r="D11" s="21">
        <v>25000</v>
      </c>
      <c r="E11" s="390">
        <f>E13*E12</f>
        <v>1200000</v>
      </c>
      <c r="F11" s="387" t="s">
        <v>224</v>
      </c>
    </row>
    <row r="12" spans="2:18" ht="30">
      <c r="B12" s="36" t="s">
        <v>18</v>
      </c>
      <c r="C12" s="32">
        <v>3</v>
      </c>
      <c r="D12" s="21">
        <v>3</v>
      </c>
      <c r="E12" s="39">
        <v>10</v>
      </c>
      <c r="F12" s="387" t="s">
        <v>192</v>
      </c>
    </row>
    <row r="13" spans="2:18" ht="30">
      <c r="B13" s="36" t="s">
        <v>19</v>
      </c>
      <c r="C13" s="33">
        <f>C11/C12</f>
        <v>1080</v>
      </c>
      <c r="D13" s="22">
        <f>D11/D12</f>
        <v>8333.3333333333339</v>
      </c>
      <c r="E13" s="39">
        <v>120000</v>
      </c>
      <c r="F13" s="387" t="s">
        <v>194</v>
      </c>
    </row>
    <row r="14" spans="2:18">
      <c r="B14" s="36" t="s">
        <v>20</v>
      </c>
      <c r="C14" s="33">
        <f>C9/C11</f>
        <v>61.728395061728392</v>
      </c>
      <c r="D14" s="22">
        <f>D9/D11</f>
        <v>160</v>
      </c>
      <c r="E14" s="41">
        <f>E9/E11</f>
        <v>16.666666666666668</v>
      </c>
      <c r="F14" s="43" t="s">
        <v>26</v>
      </c>
    </row>
    <row r="15" spans="2:18">
      <c r="B15" s="36" t="s">
        <v>21</v>
      </c>
      <c r="C15" s="33">
        <f>C14*C12</f>
        <v>185.18518518518516</v>
      </c>
      <c r="D15" s="22">
        <f>D14*D12</f>
        <v>480</v>
      </c>
      <c r="E15" s="41">
        <f>E14*E12</f>
        <v>166.66666666666669</v>
      </c>
      <c r="F15" s="43" t="s">
        <v>26</v>
      </c>
    </row>
    <row r="16" spans="2:18" ht="60.75" thickBot="1">
      <c r="B16" s="46" t="s">
        <v>117</v>
      </c>
      <c r="C16" s="49">
        <f>105</f>
        <v>105</v>
      </c>
      <c r="D16" s="50">
        <f>105</f>
        <v>105</v>
      </c>
      <c r="E16" s="51">
        <v>112</v>
      </c>
      <c r="F16" s="389" t="s">
        <v>193</v>
      </c>
    </row>
    <row r="18" spans="2:2">
      <c r="B18" s="25" t="s">
        <v>101</v>
      </c>
    </row>
    <row r="19" spans="2:2" ht="30">
      <c r="B19" s="26" t="s">
        <v>102</v>
      </c>
    </row>
    <row r="20" spans="2:2" ht="21" customHeight="1">
      <c r="B20" s="27" t="s">
        <v>103</v>
      </c>
    </row>
    <row r="22" spans="2:2">
      <c r="B22" s="477" t="s">
        <v>266</v>
      </c>
    </row>
  </sheetData>
  <sortState xmlns:xlrd2="http://schemas.microsoft.com/office/spreadsheetml/2017/richdata2" ref="B23:C28">
    <sortCondition ref="B23:B28"/>
  </sortState>
  <mergeCells count="3">
    <mergeCell ref="F2:F3"/>
    <mergeCell ref="B1:F1"/>
    <mergeCell ref="H4:R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B1:AY60"/>
  <sheetViews>
    <sheetView workbookViewId="0"/>
  </sheetViews>
  <sheetFormatPr defaultColWidth="10.875" defaultRowHeight="15.75"/>
  <cols>
    <col min="1" max="1" width="4.125" style="154" customWidth="1"/>
    <col min="2" max="2" width="44.125" style="152" bestFit="1" customWidth="1"/>
    <col min="3" max="3" width="22.5" style="152" bestFit="1" customWidth="1"/>
    <col min="4" max="4" width="11.125" style="152" bestFit="1" customWidth="1"/>
    <col min="5" max="5" width="24.875" style="152" bestFit="1" customWidth="1"/>
    <col min="6" max="8" width="20.5" style="152" customWidth="1"/>
    <col min="9" max="9" width="136.875" style="152" customWidth="1"/>
    <col min="10" max="10" width="60.875" style="154" customWidth="1"/>
    <col min="11" max="11" width="43.625" style="154" customWidth="1"/>
    <col min="12" max="12" width="14.125" style="154" customWidth="1"/>
    <col min="13" max="16" width="21.125" style="154" customWidth="1"/>
    <col min="17" max="16384" width="10.875" style="154"/>
  </cols>
  <sheetData>
    <row r="1" spans="2:25" ht="29.25" customHeight="1" thickBot="1">
      <c r="B1" s="514" t="s">
        <v>171</v>
      </c>
      <c r="C1" s="515"/>
      <c r="D1" s="515"/>
      <c r="E1" s="515"/>
      <c r="F1" s="515"/>
      <c r="G1" s="515"/>
      <c r="H1" s="515"/>
      <c r="I1" s="516"/>
    </row>
    <row r="2" spans="2:25" ht="25.5" customHeight="1" thickBot="1">
      <c r="B2" s="420" t="s">
        <v>22</v>
      </c>
      <c r="C2" s="421" t="s">
        <v>23</v>
      </c>
      <c r="D2" s="421" t="s">
        <v>25</v>
      </c>
      <c r="E2" s="421" t="s">
        <v>127</v>
      </c>
      <c r="F2" s="422" t="s">
        <v>8</v>
      </c>
      <c r="G2" s="422" t="s">
        <v>108</v>
      </c>
      <c r="H2" s="422" t="s">
        <v>109</v>
      </c>
      <c r="I2" s="423" t="s">
        <v>189</v>
      </c>
      <c r="J2" s="155"/>
      <c r="K2" s="155"/>
      <c r="L2" s="155"/>
      <c r="M2" s="155"/>
      <c r="N2" s="153"/>
      <c r="O2" s="153"/>
      <c r="P2" s="153"/>
      <c r="Q2" s="153"/>
      <c r="R2" s="153"/>
      <c r="S2" s="153"/>
      <c r="T2" s="153"/>
      <c r="U2" s="153"/>
      <c r="V2" s="153"/>
      <c r="W2" s="153"/>
      <c r="X2" s="153"/>
      <c r="Y2" s="153"/>
    </row>
    <row r="3" spans="2:25" thickBot="1">
      <c r="B3" s="508" t="s">
        <v>195</v>
      </c>
      <c r="C3" s="509"/>
      <c r="D3" s="509"/>
      <c r="E3" s="509"/>
      <c r="F3" s="509"/>
      <c r="G3" s="509"/>
      <c r="H3" s="509"/>
      <c r="I3" s="510"/>
      <c r="J3" s="155"/>
      <c r="K3" s="155"/>
      <c r="L3" s="155"/>
      <c r="M3" s="155"/>
      <c r="N3" s="153"/>
      <c r="O3" s="153"/>
      <c r="P3" s="153"/>
      <c r="Q3" s="153"/>
      <c r="R3" s="153"/>
      <c r="S3" s="153"/>
      <c r="T3" s="153"/>
      <c r="U3" s="153"/>
      <c r="V3" s="153"/>
      <c r="W3" s="153"/>
      <c r="X3" s="153"/>
      <c r="Y3" s="153"/>
    </row>
    <row r="4" spans="2:25" ht="15">
      <c r="B4" s="391" t="s">
        <v>196</v>
      </c>
      <c r="C4" s="76"/>
      <c r="D4" s="77"/>
      <c r="E4" s="77"/>
      <c r="F4" s="78"/>
      <c r="G4" s="78"/>
      <c r="H4" s="78"/>
      <c r="I4" s="79"/>
      <c r="J4" s="155"/>
      <c r="K4" s="155"/>
      <c r="L4" s="156"/>
      <c r="M4" s="155"/>
      <c r="N4" s="153"/>
      <c r="O4" s="153"/>
      <c r="P4" s="153"/>
      <c r="Q4" s="153"/>
      <c r="R4" s="153"/>
      <c r="S4" s="153"/>
      <c r="T4" s="153"/>
      <c r="U4" s="153"/>
      <c r="V4" s="153"/>
      <c r="W4" s="153"/>
      <c r="X4" s="153"/>
      <c r="Y4" s="153"/>
    </row>
    <row r="5" spans="2:25" ht="15">
      <c r="B5" s="80" t="s">
        <v>178</v>
      </c>
      <c r="C5" s="81" t="s">
        <v>26</v>
      </c>
      <c r="D5" s="82"/>
      <c r="E5" s="82"/>
      <c r="F5" s="83">
        <v>500</v>
      </c>
      <c r="G5" s="83">
        <v>1000</v>
      </c>
      <c r="H5" s="83">
        <v>2000</v>
      </c>
      <c r="I5" s="84"/>
      <c r="J5" s="155"/>
      <c r="K5" s="155"/>
      <c r="L5" s="155"/>
      <c r="M5" s="155"/>
      <c r="N5" s="153"/>
      <c r="O5" s="153"/>
      <c r="P5" s="153"/>
      <c r="Q5" s="153"/>
      <c r="R5" s="153"/>
      <c r="S5" s="153"/>
      <c r="T5" s="153"/>
      <c r="U5" s="153"/>
      <c r="V5" s="153"/>
      <c r="W5" s="153"/>
      <c r="X5" s="153"/>
      <c r="Y5" s="153"/>
    </row>
    <row r="6" spans="2:25" ht="15">
      <c r="B6" s="80" t="s">
        <v>27</v>
      </c>
      <c r="C6" s="81" t="s">
        <v>2</v>
      </c>
      <c r="D6" s="82"/>
      <c r="E6" s="82"/>
      <c r="F6" s="83">
        <v>200</v>
      </c>
      <c r="G6" s="83">
        <v>2000</v>
      </c>
      <c r="H6" s="83">
        <v>5000</v>
      </c>
      <c r="I6" s="84"/>
      <c r="J6" s="155"/>
      <c r="K6" s="155"/>
      <c r="L6" s="155"/>
      <c r="M6" s="155"/>
      <c r="N6" s="153"/>
      <c r="O6" s="153"/>
      <c r="P6" s="153"/>
      <c r="Q6" s="153"/>
      <c r="R6" s="153"/>
      <c r="S6" s="153"/>
      <c r="T6" s="153"/>
      <c r="U6" s="153"/>
      <c r="V6" s="153"/>
      <c r="W6" s="153"/>
      <c r="X6" s="153"/>
      <c r="Y6" s="153"/>
    </row>
    <row r="7" spans="2:25" thickBot="1">
      <c r="B7" s="80" t="s">
        <v>29</v>
      </c>
      <c r="C7" s="81" t="s">
        <v>30</v>
      </c>
      <c r="D7" s="82"/>
      <c r="E7" s="82"/>
      <c r="F7" s="85">
        <f>365*24</f>
        <v>8760</v>
      </c>
      <c r="G7" s="85">
        <f t="shared" ref="G7:H7" si="0">365*24</f>
        <v>8760</v>
      </c>
      <c r="H7" s="85">
        <f t="shared" si="0"/>
        <v>8760</v>
      </c>
      <c r="I7" s="84"/>
      <c r="J7" s="155"/>
      <c r="K7" s="155"/>
      <c r="L7" s="155"/>
      <c r="M7" s="155"/>
      <c r="N7" s="153"/>
      <c r="O7" s="153"/>
      <c r="P7" s="153"/>
      <c r="Q7" s="153"/>
      <c r="R7" s="153"/>
      <c r="S7" s="153"/>
      <c r="T7" s="153"/>
      <c r="U7" s="153"/>
      <c r="V7" s="153"/>
      <c r="W7" s="153"/>
      <c r="X7" s="153"/>
      <c r="Y7" s="153"/>
    </row>
    <row r="8" spans="2:25" ht="15">
      <c r="B8" s="391" t="s">
        <v>40</v>
      </c>
      <c r="C8" s="76"/>
      <c r="D8" s="77"/>
      <c r="E8" s="77"/>
      <c r="F8" s="86"/>
      <c r="G8" s="86"/>
      <c r="H8" s="86"/>
      <c r="I8" s="79"/>
      <c r="J8" s="155"/>
      <c r="K8" s="155"/>
      <c r="L8" s="155"/>
      <c r="M8" s="155"/>
      <c r="N8" s="153"/>
      <c r="O8" s="153"/>
      <c r="P8" s="153"/>
      <c r="Q8" s="153"/>
      <c r="R8" s="153"/>
      <c r="S8" s="153"/>
      <c r="T8" s="153"/>
      <c r="U8" s="153"/>
      <c r="V8" s="153"/>
      <c r="W8" s="153"/>
      <c r="X8" s="153"/>
      <c r="Y8" s="153"/>
    </row>
    <row r="9" spans="2:25" ht="15">
      <c r="B9" s="392" t="s">
        <v>198</v>
      </c>
      <c r="C9" s="87" t="s">
        <v>6</v>
      </c>
      <c r="D9" s="88"/>
      <c r="E9" s="88"/>
      <c r="F9" s="89">
        <v>105</v>
      </c>
      <c r="G9" s="89">
        <v>105</v>
      </c>
      <c r="H9" s="89">
        <v>112</v>
      </c>
      <c r="I9" s="90"/>
      <c r="J9" s="157"/>
      <c r="K9" s="155"/>
      <c r="L9" s="155"/>
      <c r="M9" s="155"/>
      <c r="N9" s="153"/>
      <c r="O9" s="153"/>
      <c r="P9" s="153"/>
      <c r="Q9" s="153"/>
      <c r="R9" s="153"/>
      <c r="S9" s="153"/>
      <c r="T9" s="153"/>
      <c r="U9" s="153"/>
      <c r="V9" s="153"/>
      <c r="W9" s="153"/>
      <c r="X9" s="153"/>
      <c r="Y9" s="158"/>
    </row>
    <row r="10" spans="2:25" ht="15">
      <c r="B10" s="91" t="s">
        <v>32</v>
      </c>
      <c r="C10" s="92" t="s">
        <v>130</v>
      </c>
      <c r="D10" s="93"/>
      <c r="E10" s="93"/>
      <c r="F10" s="94">
        <v>1.7</v>
      </c>
      <c r="G10" s="94">
        <v>1.7</v>
      </c>
      <c r="H10" s="94">
        <v>5</v>
      </c>
      <c r="I10" s="95"/>
      <c r="J10" s="155"/>
      <c r="K10" s="155"/>
      <c r="L10" s="155"/>
      <c r="M10" s="155"/>
      <c r="N10" s="153"/>
      <c r="O10" s="153"/>
      <c r="P10" s="153"/>
      <c r="Q10" s="153"/>
      <c r="R10" s="153"/>
      <c r="S10" s="153"/>
      <c r="T10" s="153"/>
      <c r="U10" s="153"/>
      <c r="V10" s="153"/>
      <c r="W10" s="153"/>
      <c r="X10" s="153"/>
      <c r="Y10" s="153"/>
    </row>
    <row r="11" spans="2:25" ht="15">
      <c r="B11" s="393" t="s">
        <v>199</v>
      </c>
      <c r="C11" s="81"/>
      <c r="D11" s="82"/>
      <c r="E11" s="82"/>
      <c r="F11" s="83">
        <v>3</v>
      </c>
      <c r="G11" s="83">
        <v>3</v>
      </c>
      <c r="H11" s="83">
        <v>10</v>
      </c>
      <c r="I11" s="84"/>
      <c r="J11" s="155"/>
      <c r="K11" s="155"/>
      <c r="L11" s="155"/>
      <c r="M11" s="155"/>
      <c r="N11" s="153"/>
      <c r="O11" s="153"/>
      <c r="P11" s="153"/>
      <c r="Q11" s="153"/>
      <c r="R11" s="153"/>
      <c r="S11" s="153"/>
      <c r="T11" s="153"/>
      <c r="U11" s="153"/>
      <c r="V11" s="153"/>
      <c r="W11" s="153"/>
      <c r="X11" s="153"/>
      <c r="Y11" s="153"/>
    </row>
    <row r="12" spans="2:25" thickBot="1">
      <c r="B12" s="80" t="s">
        <v>33</v>
      </c>
      <c r="C12" s="81"/>
      <c r="D12" s="82"/>
      <c r="E12" s="82"/>
      <c r="F12" s="83">
        <f>1080*F11</f>
        <v>3240</v>
      </c>
      <c r="G12" s="83">
        <v>25000</v>
      </c>
      <c r="H12" s="83">
        <v>1200000</v>
      </c>
      <c r="I12" s="84"/>
      <c r="J12" s="159"/>
      <c r="K12" s="155"/>
      <c r="L12" s="155"/>
      <c r="M12" s="155"/>
      <c r="N12" s="153"/>
      <c r="O12" s="153"/>
      <c r="P12" s="153"/>
      <c r="Q12" s="153"/>
      <c r="R12" s="153"/>
      <c r="S12" s="153"/>
      <c r="T12" s="153"/>
      <c r="U12" s="153"/>
      <c r="V12" s="153"/>
      <c r="W12" s="153"/>
      <c r="X12" s="153"/>
      <c r="Y12" s="153"/>
    </row>
    <row r="13" spans="2:25" ht="15">
      <c r="B13" s="391" t="s">
        <v>197</v>
      </c>
      <c r="C13" s="76"/>
      <c r="D13" s="77"/>
      <c r="E13" s="77"/>
      <c r="F13" s="78"/>
      <c r="G13" s="78"/>
      <c r="H13" s="78"/>
      <c r="I13" s="79"/>
      <c r="J13" s="155"/>
      <c r="K13" s="155"/>
      <c r="L13" s="156"/>
      <c r="M13" s="155"/>
      <c r="N13" s="153"/>
      <c r="O13" s="153"/>
      <c r="P13" s="153"/>
      <c r="Q13" s="153"/>
      <c r="R13" s="153"/>
      <c r="S13" s="153"/>
      <c r="T13" s="153"/>
      <c r="U13" s="153"/>
      <c r="V13" s="153"/>
      <c r="W13" s="153"/>
      <c r="X13" s="153"/>
      <c r="Y13" s="153"/>
    </row>
    <row r="14" spans="2:25" ht="110.25" customHeight="1" thickBot="1">
      <c r="B14" s="96"/>
      <c r="C14" s="97" t="s">
        <v>0</v>
      </c>
      <c r="D14" s="100"/>
      <c r="E14" s="98"/>
      <c r="F14" s="99">
        <f>5</f>
        <v>5</v>
      </c>
      <c r="G14" s="101">
        <f>5.2/1000</f>
        <v>5.1999999999999998E-3</v>
      </c>
      <c r="H14" s="101">
        <f t="shared" ref="H14" si="1">5.2/1000</f>
        <v>5.1999999999999998E-3</v>
      </c>
      <c r="I14" s="396" t="s">
        <v>204</v>
      </c>
      <c r="J14" s="159"/>
      <c r="K14" s="155"/>
      <c r="L14" s="155"/>
      <c r="M14" s="155"/>
      <c r="N14" s="153"/>
      <c r="O14" s="153"/>
      <c r="P14" s="153"/>
      <c r="Q14" s="153"/>
      <c r="R14" s="153"/>
      <c r="S14" s="153"/>
      <c r="T14" s="153"/>
      <c r="U14" s="153"/>
      <c r="V14" s="153"/>
      <c r="W14" s="153"/>
      <c r="X14" s="153"/>
      <c r="Y14" s="153"/>
    </row>
    <row r="15" spans="2:25" thickBot="1">
      <c r="B15" s="505" t="s">
        <v>35</v>
      </c>
      <c r="C15" s="506"/>
      <c r="D15" s="506"/>
      <c r="E15" s="506"/>
      <c r="F15" s="506"/>
      <c r="G15" s="506"/>
      <c r="H15" s="506"/>
      <c r="I15" s="507"/>
      <c r="J15" s="155"/>
      <c r="K15" s="155"/>
      <c r="L15" s="155"/>
      <c r="M15" s="155"/>
      <c r="N15" s="153"/>
      <c r="O15" s="153"/>
      <c r="P15" s="153"/>
      <c r="Q15" s="153"/>
      <c r="R15" s="153"/>
      <c r="S15" s="153"/>
      <c r="T15" s="153"/>
      <c r="U15" s="153"/>
      <c r="V15" s="153"/>
      <c r="W15" s="153"/>
      <c r="X15" s="153"/>
      <c r="Y15" s="153"/>
    </row>
    <row r="16" spans="2:25" ht="15">
      <c r="B16" s="391" t="s">
        <v>196</v>
      </c>
      <c r="C16" s="76"/>
      <c r="D16" s="77"/>
      <c r="E16" s="77"/>
      <c r="F16" s="86"/>
      <c r="G16" s="86"/>
      <c r="H16" s="86"/>
      <c r="I16" s="79"/>
      <c r="J16" s="155"/>
      <c r="K16" s="155"/>
      <c r="L16" s="155"/>
      <c r="M16" s="155"/>
      <c r="N16" s="153"/>
      <c r="O16" s="153"/>
      <c r="P16" s="153"/>
      <c r="Q16" s="153"/>
      <c r="R16" s="153"/>
      <c r="S16" s="153"/>
      <c r="T16" s="153"/>
      <c r="U16" s="153"/>
      <c r="V16" s="153"/>
    </row>
    <row r="17" spans="2:51" thickBot="1">
      <c r="B17" s="398" t="s">
        <v>205</v>
      </c>
      <c r="C17" s="103" t="s">
        <v>28</v>
      </c>
      <c r="D17" s="104">
        <v>2</v>
      </c>
      <c r="E17" s="104"/>
      <c r="F17" s="105">
        <f>$D$17*F6*F5</f>
        <v>200000</v>
      </c>
      <c r="G17" s="105">
        <f>$D$17*G6*G5</f>
        <v>4000000</v>
      </c>
      <c r="H17" s="105">
        <f>$D$17*H6*H5</f>
        <v>20000000</v>
      </c>
      <c r="I17" s="106"/>
      <c r="J17" s="155"/>
      <c r="K17" s="155"/>
      <c r="L17" s="155"/>
      <c r="M17" s="155"/>
      <c r="N17" s="153"/>
      <c r="O17" s="153"/>
      <c r="P17" s="153"/>
      <c r="Q17" s="153"/>
      <c r="R17" s="153"/>
      <c r="S17" s="153"/>
      <c r="T17" s="153"/>
      <c r="U17" s="153"/>
      <c r="V17" s="153"/>
    </row>
    <row r="18" spans="2:51" ht="15">
      <c r="B18" s="391" t="s">
        <v>40</v>
      </c>
      <c r="C18" s="76"/>
      <c r="D18" s="77"/>
      <c r="E18" s="77"/>
      <c r="F18" s="86"/>
      <c r="G18" s="86"/>
      <c r="H18" s="86"/>
      <c r="I18" s="79"/>
      <c r="J18" s="155"/>
      <c r="K18" s="155"/>
      <c r="L18" s="155"/>
      <c r="M18" s="155"/>
      <c r="N18" s="153"/>
      <c r="O18" s="153"/>
      <c r="P18" s="153"/>
      <c r="Q18" s="153"/>
      <c r="R18" s="153"/>
      <c r="S18" s="153"/>
      <c r="T18" s="153"/>
      <c r="U18" s="153"/>
      <c r="V18" s="153"/>
    </row>
    <row r="19" spans="2:51" ht="15">
      <c r="B19" s="102" t="s">
        <v>19</v>
      </c>
      <c r="C19" s="103"/>
      <c r="D19" s="104"/>
      <c r="E19" s="104"/>
      <c r="F19" s="105">
        <f>F12/F11</f>
        <v>1080</v>
      </c>
      <c r="G19" s="105">
        <f>G12/G11</f>
        <v>8333.3333333333339</v>
      </c>
      <c r="H19" s="105">
        <f>H12/H11</f>
        <v>120000</v>
      </c>
      <c r="I19" s="106"/>
      <c r="J19" s="155"/>
      <c r="K19" s="155"/>
      <c r="L19" s="155"/>
      <c r="M19" s="155"/>
      <c r="N19" s="153"/>
      <c r="O19" s="153"/>
      <c r="P19" s="153"/>
      <c r="Q19" s="153"/>
      <c r="R19" s="153"/>
      <c r="S19" s="153"/>
      <c r="T19" s="153"/>
      <c r="U19" s="153"/>
      <c r="V19" s="153"/>
    </row>
    <row r="20" spans="2:51" ht="15">
      <c r="B20" s="102" t="s">
        <v>36</v>
      </c>
      <c r="C20" s="103"/>
      <c r="D20" s="104"/>
      <c r="E20" s="104"/>
      <c r="F20" s="105">
        <f>F17/F12</f>
        <v>61.728395061728392</v>
      </c>
      <c r="G20" s="105">
        <f>G17/G12</f>
        <v>160</v>
      </c>
      <c r="H20" s="105">
        <f>H17/H12</f>
        <v>16.666666666666668</v>
      </c>
      <c r="I20" s="106"/>
      <c r="J20" s="155"/>
      <c r="K20" s="155"/>
      <c r="L20" s="155"/>
      <c r="M20" s="155"/>
      <c r="N20" s="153"/>
      <c r="O20" s="153"/>
      <c r="P20" s="153"/>
      <c r="Q20" s="153"/>
      <c r="R20" s="153"/>
      <c r="S20" s="153"/>
      <c r="T20" s="153"/>
      <c r="U20" s="153"/>
      <c r="V20" s="153"/>
    </row>
    <row r="21" spans="2:51" thickBot="1">
      <c r="B21" s="102" t="s">
        <v>37</v>
      </c>
      <c r="C21" s="103"/>
      <c r="D21" s="104"/>
      <c r="E21" s="104"/>
      <c r="F21" s="105">
        <f>F20*F11</f>
        <v>185.18518518518516</v>
      </c>
      <c r="G21" s="105">
        <f>G20*G11</f>
        <v>480</v>
      </c>
      <c r="H21" s="105">
        <f>H20*H11</f>
        <v>166.66666666666669</v>
      </c>
      <c r="I21" s="106"/>
      <c r="J21" s="155"/>
      <c r="K21" s="155"/>
      <c r="L21" s="155"/>
      <c r="M21" s="155"/>
      <c r="N21" s="153"/>
      <c r="O21" s="153"/>
      <c r="P21" s="153"/>
      <c r="Q21" s="153"/>
      <c r="R21" s="153"/>
      <c r="S21" s="153"/>
      <c r="T21" s="153"/>
      <c r="U21" s="153"/>
      <c r="V21" s="153"/>
    </row>
    <row r="22" spans="2:51" thickBot="1">
      <c r="B22" s="399" t="s">
        <v>206</v>
      </c>
      <c r="C22" s="107"/>
      <c r="D22" s="107"/>
      <c r="E22" s="107"/>
      <c r="F22" s="108"/>
      <c r="G22" s="108"/>
      <c r="H22" s="108"/>
      <c r="I22" s="109"/>
      <c r="J22" s="155"/>
      <c r="K22" s="155"/>
      <c r="L22" s="155"/>
      <c r="M22" s="155"/>
      <c r="N22" s="153"/>
      <c r="O22" s="153"/>
      <c r="P22" s="153"/>
      <c r="Q22" s="153"/>
      <c r="R22" s="153"/>
      <c r="S22" s="153"/>
      <c r="T22" s="153"/>
      <c r="U22" s="153"/>
      <c r="V22" s="153"/>
    </row>
    <row r="23" spans="2:51" ht="15">
      <c r="B23" s="110" t="s">
        <v>131</v>
      </c>
      <c r="C23" s="111" t="s">
        <v>6</v>
      </c>
      <c r="D23" s="112"/>
      <c r="E23" s="112"/>
      <c r="F23" s="113">
        <f>F14*F17/1000</f>
        <v>1000</v>
      </c>
      <c r="G23" s="113">
        <f>G14*G17/1000</f>
        <v>20.8</v>
      </c>
      <c r="H23" s="113">
        <f>H14*H17/1000</f>
        <v>104</v>
      </c>
      <c r="I23" s="114"/>
      <c r="J23" s="155"/>
      <c r="K23" s="155"/>
      <c r="L23" s="155"/>
      <c r="M23" s="155"/>
      <c r="N23" s="153"/>
      <c r="O23" s="153"/>
      <c r="P23" s="153"/>
      <c r="Q23" s="153"/>
      <c r="R23" s="153"/>
      <c r="S23" s="153"/>
      <c r="T23" s="153"/>
      <c r="U23" s="153"/>
      <c r="V23" s="153"/>
    </row>
    <row r="24" spans="2:51" ht="15">
      <c r="B24" s="115" t="s">
        <v>40</v>
      </c>
      <c r="C24" s="116" t="s">
        <v>6</v>
      </c>
      <c r="D24" s="117"/>
      <c r="E24" s="117"/>
      <c r="F24" s="118">
        <f>(F25)*F17/1000</f>
        <v>6481.4814814814818</v>
      </c>
      <c r="G24" s="118">
        <f>(G25)*G17/1000</f>
        <v>16800</v>
      </c>
      <c r="H24" s="118">
        <f>(H25)*H17/1000</f>
        <v>1866.6666666666667</v>
      </c>
      <c r="I24" s="119"/>
      <c r="J24" s="155"/>
      <c r="K24" s="155"/>
      <c r="L24" s="155"/>
      <c r="M24" s="155"/>
      <c r="N24" s="153"/>
      <c r="O24" s="153"/>
      <c r="P24" s="153"/>
      <c r="Q24" s="153"/>
      <c r="R24" s="153"/>
      <c r="S24" s="153"/>
      <c r="T24" s="153"/>
      <c r="U24" s="153"/>
      <c r="V24" s="153"/>
    </row>
    <row r="25" spans="2:51" ht="15">
      <c r="B25" s="120" t="s">
        <v>42</v>
      </c>
      <c r="C25" s="121" t="s">
        <v>41</v>
      </c>
      <c r="D25" s="122"/>
      <c r="E25" s="122"/>
      <c r="F25" s="123">
        <f>F9*1000/F12</f>
        <v>32.407407407407405</v>
      </c>
      <c r="G25" s="123">
        <f>G9*1000/G12</f>
        <v>4.2</v>
      </c>
      <c r="H25" s="123">
        <f>H9*1000/H12</f>
        <v>9.3333333333333338E-2</v>
      </c>
      <c r="I25" s="366"/>
      <c r="J25" s="155"/>
      <c r="K25" s="155"/>
      <c r="L25" s="155"/>
      <c r="M25" s="155"/>
      <c r="N25" s="153"/>
      <c r="O25" s="153"/>
      <c r="P25" s="153"/>
      <c r="Q25" s="153"/>
      <c r="R25" s="153"/>
      <c r="S25" s="153"/>
      <c r="T25" s="153"/>
      <c r="U25" s="153"/>
      <c r="V25" s="153"/>
    </row>
    <row r="26" spans="2:51" ht="31.5" customHeight="1">
      <c r="B26" s="115" t="s">
        <v>132</v>
      </c>
      <c r="C26" s="116" t="s">
        <v>6</v>
      </c>
      <c r="D26" s="124"/>
      <c r="E26" s="117"/>
      <c r="F26" s="125">
        <f>F46</f>
        <v>2466.0000000000005</v>
      </c>
      <c r="G26" s="125">
        <f t="shared" ref="G26:H26" si="2">G46</f>
        <v>5754.0000000000009</v>
      </c>
      <c r="H26" s="125">
        <f t="shared" si="2"/>
        <v>1644.0000000000002</v>
      </c>
      <c r="I26" s="126"/>
      <c r="J26" s="159"/>
      <c r="K26" s="155"/>
      <c r="L26" s="155"/>
      <c r="M26" s="155"/>
      <c r="N26" s="153"/>
      <c r="O26" s="153"/>
      <c r="P26" s="153"/>
      <c r="Q26" s="153"/>
      <c r="R26" s="153"/>
      <c r="S26" s="153"/>
      <c r="T26" s="153"/>
      <c r="U26" s="153"/>
      <c r="V26" s="158"/>
    </row>
    <row r="27" spans="2:51" ht="18" customHeight="1">
      <c r="B27" s="115" t="s">
        <v>44</v>
      </c>
      <c r="C27" s="116" t="s">
        <v>6</v>
      </c>
      <c r="D27" s="117">
        <v>0.1</v>
      </c>
      <c r="E27" s="117"/>
      <c r="F27" s="118">
        <f>(F23+F24+F26)*$D$27</f>
        <v>994.74814814814818</v>
      </c>
      <c r="G27" s="118">
        <f>(G23+G24+G26)*$D$27</f>
        <v>2257.48</v>
      </c>
      <c r="H27" s="118">
        <f>(H23+H24+H26)*$D$27</f>
        <v>361.4666666666667</v>
      </c>
      <c r="I27" s="119" t="s">
        <v>177</v>
      </c>
      <c r="J27" s="155"/>
      <c r="K27" s="155"/>
      <c r="L27" s="155"/>
      <c r="M27" s="155"/>
      <c r="N27" s="153"/>
      <c r="O27" s="153"/>
      <c r="P27" s="153"/>
      <c r="Q27" s="153"/>
      <c r="R27" s="153"/>
      <c r="S27" s="153"/>
      <c r="T27" s="153"/>
      <c r="U27" s="153"/>
      <c r="V27" s="153"/>
      <c r="W27" s="153"/>
      <c r="X27" s="153"/>
      <c r="Y27" s="153"/>
      <c r="Z27" s="153"/>
      <c r="AA27" s="153"/>
      <c r="AB27" s="153"/>
      <c r="AC27" s="153"/>
      <c r="AD27" s="153"/>
      <c r="AE27" s="153"/>
      <c r="AF27" s="153"/>
      <c r="AG27" s="153"/>
      <c r="AH27" s="153"/>
      <c r="AI27" s="153"/>
      <c r="AJ27" s="153"/>
      <c r="AK27" s="153"/>
      <c r="AL27" s="153"/>
      <c r="AM27" s="153"/>
      <c r="AN27" s="153"/>
      <c r="AO27" s="153"/>
      <c r="AP27" s="153"/>
      <c r="AQ27" s="153"/>
      <c r="AR27" s="153"/>
      <c r="AS27" s="153"/>
      <c r="AT27" s="153"/>
      <c r="AU27" s="153"/>
      <c r="AV27" s="153"/>
      <c r="AW27" s="153"/>
      <c r="AX27" s="153"/>
      <c r="AY27" s="153"/>
    </row>
    <row r="28" spans="2:51" ht="90">
      <c r="B28" s="115" t="s">
        <v>45</v>
      </c>
      <c r="C28" s="116" t="s">
        <v>6</v>
      </c>
      <c r="D28" s="117">
        <v>0.1</v>
      </c>
      <c r="E28" s="117"/>
      <c r="F28" s="118">
        <f>(F23+F24+F26)*$D$28</f>
        <v>994.74814814814818</v>
      </c>
      <c r="G28" s="118">
        <f>(G23+G24+G26)*$D$28</f>
        <v>2257.48</v>
      </c>
      <c r="H28" s="118">
        <f>(H23+H24+H26)*$D$28</f>
        <v>361.4666666666667</v>
      </c>
      <c r="I28" s="400" t="s">
        <v>250</v>
      </c>
      <c r="J28" s="155"/>
      <c r="K28" s="155"/>
      <c r="L28" s="155"/>
      <c r="M28" s="155"/>
      <c r="N28" s="153"/>
      <c r="O28" s="153"/>
      <c r="P28" s="153"/>
      <c r="Q28" s="153"/>
      <c r="R28" s="153"/>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53"/>
    </row>
    <row r="29" spans="2:51" ht="15">
      <c r="B29" s="127" t="s">
        <v>133</v>
      </c>
      <c r="C29" s="128" t="s">
        <v>6</v>
      </c>
      <c r="D29" s="129"/>
      <c r="E29" s="129"/>
      <c r="F29" s="130">
        <f>SUM(F23:F24,F26:F28)</f>
        <v>11936.977777777778</v>
      </c>
      <c r="G29" s="130">
        <f>SUM(G23:G24,G26:G28)</f>
        <v>27089.759999999998</v>
      </c>
      <c r="H29" s="130">
        <f>SUM(H23:H24,H26:H28)</f>
        <v>4337.6000000000004</v>
      </c>
      <c r="I29" s="131"/>
      <c r="J29" s="159"/>
      <c r="K29" s="155"/>
      <c r="L29" s="155"/>
      <c r="M29" s="155"/>
      <c r="N29" s="153"/>
      <c r="O29" s="153"/>
      <c r="P29" s="153"/>
      <c r="Q29" s="153"/>
      <c r="R29" s="153"/>
      <c r="S29" s="153"/>
      <c r="T29" s="153"/>
      <c r="U29" s="158"/>
      <c r="V29" s="153"/>
      <c r="W29" s="158"/>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row>
    <row r="30" spans="2:51" ht="15">
      <c r="B30" s="401" t="s">
        <v>207</v>
      </c>
      <c r="C30" s="128" t="s">
        <v>48</v>
      </c>
      <c r="D30" s="129"/>
      <c r="E30" s="129"/>
      <c r="F30" s="367">
        <f>F29*1000/F17</f>
        <v>59.684888888888892</v>
      </c>
      <c r="G30" s="367">
        <f>G29*1000/G17</f>
        <v>6.7724399999999996</v>
      </c>
      <c r="H30" s="367">
        <f>H29*1000/H17</f>
        <v>0.21687999999999999</v>
      </c>
      <c r="I30" s="131"/>
      <c r="J30" s="159"/>
      <c r="K30" s="155"/>
      <c r="L30" s="155"/>
      <c r="M30" s="155"/>
      <c r="N30" s="153"/>
      <c r="O30" s="153"/>
      <c r="P30" s="153"/>
      <c r="Q30" s="153"/>
      <c r="R30" s="153"/>
      <c r="S30" s="153"/>
      <c r="T30" s="153"/>
      <c r="U30" s="158"/>
      <c r="V30" s="153"/>
      <c r="W30" s="158"/>
      <c r="X30" s="153"/>
      <c r="Y30" s="153"/>
      <c r="Z30" s="153"/>
      <c r="AA30" s="153"/>
      <c r="AB30" s="153"/>
      <c r="AC30" s="153"/>
      <c r="AD30" s="153"/>
      <c r="AE30" s="153"/>
      <c r="AF30" s="153"/>
      <c r="AG30" s="153"/>
      <c r="AH30" s="153"/>
      <c r="AI30" s="153"/>
      <c r="AJ30" s="153"/>
      <c r="AK30" s="153"/>
      <c r="AL30" s="153"/>
      <c r="AM30" s="153"/>
      <c r="AN30" s="153"/>
      <c r="AO30" s="153"/>
      <c r="AP30" s="153"/>
      <c r="AQ30" s="153"/>
      <c r="AR30" s="153"/>
      <c r="AS30" s="153"/>
      <c r="AT30" s="153"/>
      <c r="AU30" s="153"/>
      <c r="AV30" s="153"/>
      <c r="AW30" s="153"/>
      <c r="AX30" s="153"/>
      <c r="AY30" s="153"/>
    </row>
    <row r="31" spans="2:51" thickBot="1">
      <c r="B31" s="132" t="s">
        <v>47</v>
      </c>
      <c r="C31" s="128" t="s">
        <v>1</v>
      </c>
      <c r="D31" s="129"/>
      <c r="E31" s="129"/>
      <c r="F31" s="130">
        <f>F29*F7/1000</f>
        <v>104567.92533333335</v>
      </c>
      <c r="G31" s="130">
        <f>G29*G7/1000</f>
        <v>237306.29759999999</v>
      </c>
      <c r="H31" s="130">
        <f>H29*H7/1000</f>
        <v>37997.375999999997</v>
      </c>
      <c r="I31" s="131"/>
      <c r="J31" s="159"/>
      <c r="K31" s="155"/>
      <c r="L31" s="155"/>
      <c r="M31" s="155"/>
      <c r="N31" s="153"/>
      <c r="O31" s="153"/>
      <c r="P31" s="153"/>
      <c r="Q31" s="153"/>
      <c r="R31" s="153"/>
      <c r="S31" s="153"/>
      <c r="T31" s="153"/>
      <c r="U31" s="153"/>
      <c r="V31" s="153"/>
      <c r="W31" s="158"/>
      <c r="X31" s="153"/>
      <c r="Y31" s="153"/>
      <c r="Z31" s="153"/>
      <c r="AA31" s="153"/>
      <c r="AB31" s="153"/>
      <c r="AC31" s="153"/>
      <c r="AD31" s="153"/>
      <c r="AE31" s="153"/>
      <c r="AF31" s="153"/>
      <c r="AG31" s="153"/>
      <c r="AH31" s="153"/>
      <c r="AI31" s="153"/>
      <c r="AJ31" s="153"/>
      <c r="AK31" s="153"/>
      <c r="AL31" s="153"/>
      <c r="AM31" s="153"/>
      <c r="AN31" s="153"/>
      <c r="AO31" s="153"/>
      <c r="AP31" s="153"/>
      <c r="AQ31" s="153"/>
      <c r="AR31" s="153"/>
      <c r="AS31" s="153"/>
      <c r="AT31" s="153"/>
      <c r="AU31" s="153"/>
      <c r="AV31" s="153"/>
      <c r="AW31" s="153"/>
      <c r="AX31" s="153"/>
      <c r="AY31" s="153"/>
    </row>
    <row r="32" spans="2:51" ht="17.100000000000001" customHeight="1" thickBot="1">
      <c r="B32" s="511" t="s">
        <v>134</v>
      </c>
      <c r="C32" s="512"/>
      <c r="D32" s="512"/>
      <c r="E32" s="512"/>
      <c r="F32" s="512"/>
      <c r="G32" s="512"/>
      <c r="H32" s="512"/>
      <c r="I32" s="513"/>
      <c r="J32" s="155"/>
      <c r="K32" s="155"/>
      <c r="L32" s="155"/>
      <c r="M32" s="155"/>
      <c r="N32" s="153"/>
      <c r="O32" s="153"/>
      <c r="P32" s="153"/>
      <c r="Q32" s="153"/>
      <c r="R32" s="153"/>
      <c r="S32" s="153"/>
      <c r="T32" s="153"/>
      <c r="U32" s="153"/>
      <c r="V32" s="153"/>
      <c r="W32" s="153"/>
      <c r="X32" s="153"/>
      <c r="Y32" s="153"/>
      <c r="Z32" s="153"/>
      <c r="AA32" s="153"/>
      <c r="AB32" s="153"/>
      <c r="AC32" s="153"/>
      <c r="AD32" s="153"/>
      <c r="AE32" s="153"/>
      <c r="AF32" s="153"/>
      <c r="AG32" s="153"/>
      <c r="AH32" s="153"/>
      <c r="AI32" s="153"/>
      <c r="AJ32" s="153"/>
      <c r="AK32" s="153"/>
      <c r="AL32" s="153"/>
      <c r="AM32" s="153"/>
      <c r="AN32" s="153"/>
      <c r="AO32" s="153"/>
      <c r="AP32" s="153"/>
      <c r="AQ32" s="153"/>
      <c r="AR32" s="153"/>
      <c r="AS32" s="153"/>
      <c r="AT32" s="153"/>
      <c r="AU32" s="153"/>
      <c r="AV32" s="153"/>
      <c r="AW32" s="153"/>
      <c r="AX32" s="153"/>
      <c r="AY32" s="153"/>
    </row>
    <row r="33" spans="2:51" ht="30">
      <c r="B33" s="133" t="s">
        <v>251</v>
      </c>
      <c r="C33" s="441" t="s">
        <v>7</v>
      </c>
      <c r="D33" s="442">
        <v>15</v>
      </c>
      <c r="E33" s="442"/>
      <c r="F33" s="443">
        <f>$D$33*F20</f>
        <v>925.92592592592587</v>
      </c>
      <c r="G33" s="443">
        <f>$D$33*G20</f>
        <v>2400</v>
      </c>
      <c r="H33" s="443">
        <f>$D$33*H20</f>
        <v>250.00000000000003</v>
      </c>
      <c r="I33" s="444" t="s">
        <v>258</v>
      </c>
      <c r="J33" s="439"/>
      <c r="K33" s="155"/>
      <c r="L33" s="155"/>
      <c r="M33" s="155"/>
      <c r="N33" s="153"/>
      <c r="O33" s="153"/>
      <c r="P33" s="153"/>
      <c r="Q33" s="153"/>
      <c r="R33" s="153"/>
      <c r="S33" s="153"/>
      <c r="T33" s="153"/>
      <c r="U33" s="153"/>
      <c r="V33" s="153"/>
      <c r="W33" s="153"/>
      <c r="X33" s="153"/>
      <c r="Y33" s="153"/>
      <c r="Z33" s="153"/>
      <c r="AA33" s="153"/>
      <c r="AB33" s="153"/>
      <c r="AC33" s="153"/>
      <c r="AD33" s="153"/>
      <c r="AE33" s="153"/>
      <c r="AF33" s="153"/>
      <c r="AG33" s="153"/>
      <c r="AH33" s="153"/>
      <c r="AI33" s="153"/>
      <c r="AJ33" s="153"/>
      <c r="AK33" s="153"/>
      <c r="AL33" s="153"/>
      <c r="AM33" s="153"/>
      <c r="AN33" s="153"/>
      <c r="AO33" s="153"/>
      <c r="AP33" s="153"/>
      <c r="AQ33" s="153"/>
      <c r="AR33" s="153"/>
      <c r="AS33" s="153"/>
      <c r="AT33" s="153"/>
      <c r="AU33" s="153"/>
      <c r="AV33" s="153"/>
      <c r="AW33" s="153"/>
      <c r="AX33" s="153"/>
      <c r="AY33" s="153"/>
    </row>
    <row r="34" spans="2:51" ht="30">
      <c r="B34" s="440" t="s">
        <v>252</v>
      </c>
      <c r="C34" s="134" t="s">
        <v>7</v>
      </c>
      <c r="D34" s="135">
        <v>3</v>
      </c>
      <c r="E34" s="135"/>
      <c r="F34" s="136">
        <f>$D$34*F21</f>
        <v>555.55555555555543</v>
      </c>
      <c r="G34" s="136">
        <f>$D$34*G21</f>
        <v>1440</v>
      </c>
      <c r="H34" s="136">
        <f>$D$34*H21</f>
        <v>500.00000000000006</v>
      </c>
      <c r="I34" s="402" t="s">
        <v>260</v>
      </c>
      <c r="J34" s="439"/>
      <c r="K34" s="155"/>
      <c r="L34" s="155"/>
      <c r="M34" s="155"/>
      <c r="N34" s="153"/>
      <c r="O34" s="153"/>
      <c r="P34" s="153"/>
      <c r="Q34" s="153"/>
      <c r="R34" s="153"/>
      <c r="S34" s="153"/>
      <c r="T34" s="153"/>
      <c r="U34" s="153"/>
      <c r="V34" s="153"/>
      <c r="W34" s="153"/>
      <c r="X34" s="153"/>
      <c r="Y34" s="153"/>
      <c r="Z34" s="153"/>
      <c r="AA34" s="153"/>
      <c r="AB34" s="153"/>
      <c r="AC34" s="153"/>
      <c r="AD34" s="153"/>
      <c r="AE34" s="153"/>
      <c r="AF34" s="153"/>
      <c r="AG34" s="153"/>
      <c r="AH34" s="153"/>
      <c r="AI34" s="153"/>
      <c r="AJ34" s="153"/>
      <c r="AK34" s="153"/>
      <c r="AL34" s="153"/>
      <c r="AM34" s="153"/>
      <c r="AN34" s="153"/>
      <c r="AO34" s="153"/>
      <c r="AP34" s="153"/>
      <c r="AQ34" s="153"/>
      <c r="AR34" s="153"/>
      <c r="AS34" s="153"/>
      <c r="AT34" s="153"/>
      <c r="AU34" s="153"/>
      <c r="AV34" s="153"/>
      <c r="AW34" s="153"/>
      <c r="AX34" s="153"/>
      <c r="AY34" s="153"/>
    </row>
    <row r="35" spans="2:51" s="160" customFormat="1" ht="15">
      <c r="B35" s="137" t="s">
        <v>46</v>
      </c>
      <c r="C35" s="138" t="s">
        <v>7</v>
      </c>
      <c r="D35" s="139"/>
      <c r="E35" s="139"/>
      <c r="F35" s="140">
        <f>SUM(F33:F34)</f>
        <v>1481.4814814814813</v>
      </c>
      <c r="G35" s="140">
        <f>SUM(G33:G34)</f>
        <v>3840</v>
      </c>
      <c r="H35" s="140">
        <f>SUM(H33:H34)</f>
        <v>750.00000000000011</v>
      </c>
      <c r="I35" s="141"/>
      <c r="J35" s="155"/>
      <c r="K35" s="155"/>
      <c r="L35" s="155"/>
      <c r="M35" s="155"/>
    </row>
    <row r="36" spans="2:51" s="162" customFormat="1" ht="15">
      <c r="B36" s="142" t="s">
        <v>49</v>
      </c>
      <c r="C36" s="143"/>
      <c r="D36" s="144"/>
      <c r="E36" s="144"/>
      <c r="F36" s="145"/>
      <c r="G36" s="145"/>
      <c r="H36" s="145"/>
      <c r="I36" s="146"/>
      <c r="J36" s="161"/>
      <c r="K36" s="161"/>
      <c r="L36" s="161"/>
      <c r="M36" s="161"/>
    </row>
    <row r="37" spans="2:51" s="162" customFormat="1" ht="30">
      <c r="B37" s="147" t="s">
        <v>50</v>
      </c>
      <c r="C37" s="143" t="s">
        <v>51</v>
      </c>
      <c r="D37" s="144">
        <v>55.4</v>
      </c>
      <c r="E37" s="144"/>
      <c r="F37" s="145"/>
      <c r="G37" s="145"/>
      <c r="H37" s="145"/>
      <c r="I37" s="403" t="s">
        <v>254</v>
      </c>
      <c r="J37" s="161"/>
      <c r="K37" s="161"/>
      <c r="L37" s="161"/>
      <c r="M37" s="161"/>
    </row>
    <row r="38" spans="2:51" s="162" customFormat="1" ht="19.5" customHeight="1">
      <c r="B38" s="147" t="s">
        <v>52</v>
      </c>
      <c r="C38" s="143" t="s">
        <v>51</v>
      </c>
      <c r="D38" s="144">
        <v>39.200000000000003</v>
      </c>
      <c r="E38" s="144"/>
      <c r="F38" s="145"/>
      <c r="G38" s="145"/>
      <c r="H38" s="145"/>
      <c r="I38" s="403" t="s">
        <v>208</v>
      </c>
      <c r="J38" s="161"/>
      <c r="K38" s="161"/>
      <c r="L38" s="161"/>
      <c r="M38" s="161"/>
    </row>
    <row r="39" spans="2:51" s="162" customFormat="1" ht="19.5" customHeight="1">
      <c r="B39" s="147" t="s">
        <v>53</v>
      </c>
      <c r="C39" s="143"/>
      <c r="D39" s="144">
        <v>1.2</v>
      </c>
      <c r="E39" s="144"/>
      <c r="F39" s="145"/>
      <c r="G39" s="145"/>
      <c r="H39" s="145"/>
      <c r="I39" s="146" t="s">
        <v>225</v>
      </c>
      <c r="J39" s="397"/>
      <c r="K39" s="161"/>
      <c r="L39" s="161"/>
      <c r="M39" s="161"/>
    </row>
    <row r="40" spans="2:51" s="160" customFormat="1" ht="45">
      <c r="B40" s="147" t="s">
        <v>253</v>
      </c>
      <c r="C40" s="143" t="s">
        <v>54</v>
      </c>
      <c r="D40" s="144"/>
      <c r="E40" s="144"/>
      <c r="F40" s="145">
        <f>CEILING((F35*60*8.33*($D$37-$D$38)*$D$39)/12000,500)</f>
        <v>1500</v>
      </c>
      <c r="G40" s="145">
        <f t="shared" ref="G40:H40" si="3">CEILING((G35*60*8.33*($D$37-$D$38)*$D$39)/12000,500)</f>
        <v>3500</v>
      </c>
      <c r="H40" s="145">
        <f t="shared" si="3"/>
        <v>1000</v>
      </c>
      <c r="I40" s="403" t="s">
        <v>261</v>
      </c>
      <c r="J40" s="439"/>
      <c r="K40" s="155"/>
      <c r="L40" s="155"/>
      <c r="M40" s="155"/>
      <c r="AF40" s="158"/>
    </row>
    <row r="41" spans="2:51" s="160" customFormat="1" ht="30">
      <c r="B41" s="147" t="s">
        <v>55</v>
      </c>
      <c r="C41" s="143" t="s">
        <v>6</v>
      </c>
      <c r="D41" s="144">
        <v>0.47</v>
      </c>
      <c r="E41" s="144" t="s">
        <v>56</v>
      </c>
      <c r="F41" s="145">
        <f>$D$41*F40</f>
        <v>705</v>
      </c>
      <c r="G41" s="145">
        <f>$D$41*G40</f>
        <v>1645</v>
      </c>
      <c r="H41" s="145">
        <f>$D$41*H40</f>
        <v>470</v>
      </c>
      <c r="I41" s="403" t="s">
        <v>262</v>
      </c>
      <c r="J41" s="159"/>
      <c r="K41" s="155"/>
      <c r="L41" s="155"/>
      <c r="M41" s="155"/>
      <c r="AX41" s="163"/>
      <c r="AY41" s="158"/>
    </row>
    <row r="42" spans="2:51" s="160" customFormat="1" ht="63.75" customHeight="1">
      <c r="B42" s="465" t="s">
        <v>57</v>
      </c>
      <c r="C42" s="466" t="s">
        <v>58</v>
      </c>
      <c r="D42" s="467">
        <v>1.8</v>
      </c>
      <c r="E42" s="467"/>
      <c r="F42" s="468">
        <f>0.5*1.8*F40*F7/1000000</f>
        <v>11.826000000000001</v>
      </c>
      <c r="G42" s="468">
        <f t="shared" ref="G42:H42" si="4">0.5*1.8*G40*G7/1000000</f>
        <v>27.594000000000001</v>
      </c>
      <c r="H42" s="468">
        <f t="shared" si="4"/>
        <v>7.8840000000000003</v>
      </c>
      <c r="I42" s="404" t="s">
        <v>263</v>
      </c>
      <c r="J42" s="439"/>
      <c r="K42" s="155"/>
      <c r="L42" s="155"/>
      <c r="M42" s="155"/>
    </row>
    <row r="43" spans="2:51" s="160" customFormat="1" ht="26.25" customHeight="1">
      <c r="B43" s="137" t="s">
        <v>84</v>
      </c>
      <c r="C43" s="138" t="s">
        <v>83</v>
      </c>
      <c r="D43" s="148">
        <v>365</v>
      </c>
      <c r="E43" s="139" t="s">
        <v>128</v>
      </c>
      <c r="F43" s="149">
        <f>F42/$D$43</f>
        <v>3.2399999999999998E-2</v>
      </c>
      <c r="G43" s="149">
        <f>G42/$D$43</f>
        <v>7.5600000000000001E-2</v>
      </c>
      <c r="H43" s="149">
        <f>H42/$D$43</f>
        <v>2.1600000000000001E-2</v>
      </c>
      <c r="I43" s="141" t="s">
        <v>248</v>
      </c>
      <c r="J43" s="155"/>
      <c r="K43" s="155"/>
      <c r="L43" s="155"/>
      <c r="M43" s="155"/>
    </row>
    <row r="44" spans="2:51" s="160" customFormat="1" ht="75">
      <c r="B44" s="137" t="s">
        <v>59</v>
      </c>
      <c r="C44" s="138" t="s">
        <v>3</v>
      </c>
      <c r="D44" s="148">
        <v>1000</v>
      </c>
      <c r="E44" s="139" t="s">
        <v>60</v>
      </c>
      <c r="F44" s="148">
        <f>($D$44*F42*1000/F7)</f>
        <v>1350</v>
      </c>
      <c r="G44" s="148">
        <f>($D$44*G42*1000/G7)</f>
        <v>3150</v>
      </c>
      <c r="H44" s="148">
        <f>($D$44*H42*1000/H7)</f>
        <v>900</v>
      </c>
      <c r="I44" s="476" t="s">
        <v>264</v>
      </c>
      <c r="J44" s="439"/>
      <c r="K44" s="155"/>
      <c r="L44" s="155"/>
      <c r="M44" s="155"/>
      <c r="AQ44" s="158"/>
    </row>
    <row r="45" spans="2:51" s="160" customFormat="1" ht="24.75" customHeight="1">
      <c r="B45" s="137" t="s">
        <v>61</v>
      </c>
      <c r="C45" s="138" t="s">
        <v>62</v>
      </c>
      <c r="D45" s="139"/>
      <c r="E45" s="139"/>
      <c r="F45" s="469">
        <f>CONVERT(F42,"gal","l")*1000000/(F31*1000)</f>
        <v>0.42810718119233598</v>
      </c>
      <c r="G45" s="469">
        <f>CONVERT(G42,"gal","l")*1000000/(G31*1000)</f>
        <v>0.44016806053652752</v>
      </c>
      <c r="H45" s="469">
        <f>CONVERT(H42,"gal","l")*1000000/(H31*1000)</f>
        <v>0.78542756492069354</v>
      </c>
      <c r="I45" s="404" t="s">
        <v>209</v>
      </c>
      <c r="J45" s="155"/>
      <c r="K45" s="155"/>
      <c r="L45" s="155"/>
      <c r="M45" s="155"/>
    </row>
    <row r="46" spans="2:51" s="160" customFormat="1" ht="37.5" customHeight="1">
      <c r="B46" s="150" t="s">
        <v>135</v>
      </c>
      <c r="C46" s="138" t="s">
        <v>6</v>
      </c>
      <c r="D46" s="139"/>
      <c r="E46" s="139"/>
      <c r="F46" s="469">
        <f>(1+$D$27+$D$28)*SUM(F41,F44)</f>
        <v>2466.0000000000005</v>
      </c>
      <c r="G46" s="469">
        <f t="shared" ref="G46:H46" si="5">(1+$D$27+$D$28)*SUM(G41,G44)</f>
        <v>5754.0000000000009</v>
      </c>
      <c r="H46" s="469">
        <f t="shared" si="5"/>
        <v>1644.0000000000002</v>
      </c>
      <c r="I46" s="141"/>
      <c r="J46" s="155"/>
      <c r="K46" s="155"/>
      <c r="L46" s="155"/>
      <c r="M46" s="155"/>
    </row>
    <row r="47" spans="2:51" s="160" customFormat="1" ht="47.25" customHeight="1" thickBot="1">
      <c r="B47" s="151" t="s">
        <v>136</v>
      </c>
      <c r="C47" s="445" t="s">
        <v>3</v>
      </c>
      <c r="D47" s="446"/>
      <c r="E47" s="446"/>
      <c r="F47" s="447">
        <f>F46*F7</f>
        <v>21602160.000000004</v>
      </c>
      <c r="G47" s="447">
        <f t="shared" ref="G47:H47" si="6">G46*G7</f>
        <v>50405040.000000007</v>
      </c>
      <c r="H47" s="447">
        <f t="shared" si="6"/>
        <v>14401440.000000002</v>
      </c>
      <c r="I47" s="448"/>
      <c r="J47" s="155"/>
      <c r="K47" s="155"/>
      <c r="L47" s="155"/>
      <c r="M47" s="155"/>
      <c r="S47" s="158"/>
    </row>
    <row r="48" spans="2:51" s="165" customFormat="1" ht="15">
      <c r="B48" s="226" t="s">
        <v>64</v>
      </c>
      <c r="C48" s="227"/>
      <c r="D48" s="228"/>
      <c r="E48" s="228"/>
      <c r="F48" s="228"/>
      <c r="G48" s="228"/>
      <c r="H48" s="228"/>
      <c r="I48" s="229"/>
      <c r="P48" s="153"/>
    </row>
    <row r="49" spans="2:48" ht="30">
      <c r="B49" s="230" t="s">
        <v>68</v>
      </c>
      <c r="C49" s="231" t="s">
        <v>69</v>
      </c>
      <c r="D49" s="232">
        <f>10/12</f>
        <v>0.83333333333333337</v>
      </c>
      <c r="E49" s="232"/>
      <c r="F49" s="233">
        <f>($D$49*F7)*F21/1000000*$C$59</f>
        <v>873.83703703703691</v>
      </c>
      <c r="G49" s="233">
        <f>($D$49*G7)*G21/1000000*$C$59</f>
        <v>2264.9856</v>
      </c>
      <c r="H49" s="233">
        <f>($D$49*H7)*H21/1000000*$C$59</f>
        <v>786.45333333333338</v>
      </c>
      <c r="I49" s="234" t="s">
        <v>241</v>
      </c>
      <c r="J49" s="439"/>
      <c r="P49" s="153"/>
      <c r="Q49" s="153"/>
      <c r="R49" s="153"/>
      <c r="S49" s="153"/>
      <c r="T49" s="153"/>
      <c r="U49" s="153"/>
      <c r="V49" s="153"/>
      <c r="W49" s="153"/>
      <c r="X49" s="153"/>
      <c r="Y49" s="153"/>
      <c r="Z49" s="153"/>
      <c r="AA49" s="153"/>
      <c r="AB49" s="153"/>
      <c r="AC49" s="153"/>
      <c r="AD49" s="153"/>
      <c r="AE49" s="153"/>
      <c r="AF49" s="153"/>
      <c r="AG49" s="153"/>
      <c r="AH49" s="158"/>
      <c r="AI49" s="153"/>
      <c r="AJ49" s="153"/>
      <c r="AK49" s="153"/>
      <c r="AL49" s="153"/>
      <c r="AM49" s="153"/>
      <c r="AN49" s="153"/>
      <c r="AO49" s="153"/>
      <c r="AP49" s="153"/>
      <c r="AQ49" s="153"/>
    </row>
    <row r="50" spans="2:48" ht="30">
      <c r="B50" s="230" t="s">
        <v>70</v>
      </c>
      <c r="C50" s="231" t="s">
        <v>69</v>
      </c>
      <c r="D50" s="232">
        <f>50/12</f>
        <v>4.166666666666667</v>
      </c>
      <c r="E50" s="232"/>
      <c r="F50" s="233">
        <f>($D$50*F7)*F21/1000000*$C$59</f>
        <v>4369.1851851851843</v>
      </c>
      <c r="G50" s="233">
        <f>($D$50*G7)*G21/1000000*$C$59</f>
        <v>11324.928</v>
      </c>
      <c r="H50" s="233">
        <f>($D$50*H7)*H21/1000000*$C$59</f>
        <v>3932.2666666666669</v>
      </c>
      <c r="I50" s="416" t="s">
        <v>256</v>
      </c>
      <c r="J50" s="166"/>
      <c r="Q50" s="153"/>
      <c r="R50" s="153"/>
      <c r="S50" s="153"/>
      <c r="T50" s="153"/>
      <c r="U50" s="153"/>
      <c r="V50" s="153"/>
      <c r="W50" s="153"/>
      <c r="X50" s="153"/>
      <c r="Y50" s="153"/>
      <c r="Z50" s="153"/>
      <c r="AA50" s="153"/>
      <c r="AB50" s="153"/>
      <c r="AC50" s="153"/>
      <c r="AD50" s="153"/>
      <c r="AE50" s="153"/>
      <c r="AF50" s="153"/>
      <c r="AG50" s="153"/>
      <c r="AH50" s="158"/>
      <c r="AI50" s="153"/>
      <c r="AJ50" s="153"/>
      <c r="AK50" s="153"/>
      <c r="AL50" s="153"/>
      <c r="AM50" s="153"/>
      <c r="AN50" s="153"/>
      <c r="AO50" s="153"/>
      <c r="AP50" s="153"/>
      <c r="AQ50" s="153"/>
    </row>
    <row r="51" spans="2:48" ht="36" customHeight="1" thickBot="1">
      <c r="B51" s="235" t="s">
        <v>46</v>
      </c>
      <c r="C51" s="236" t="s">
        <v>69</v>
      </c>
      <c r="D51" s="237"/>
      <c r="E51" s="237"/>
      <c r="F51" s="238">
        <f>SUM(F49:F50)</f>
        <v>5243.022222222221</v>
      </c>
      <c r="G51" s="238">
        <f t="shared" ref="G51:H51" si="7">SUM(G49:G50)</f>
        <v>13589.9136</v>
      </c>
      <c r="H51" s="238">
        <f t="shared" si="7"/>
        <v>4718.72</v>
      </c>
      <c r="I51" s="239"/>
      <c r="J51" s="166"/>
      <c r="P51" s="158"/>
      <c r="Q51" s="153"/>
      <c r="R51" s="153"/>
      <c r="S51" s="153"/>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row>
    <row r="52" spans="2:48" s="165" customFormat="1" thickBot="1">
      <c r="B52" s="449" t="s">
        <v>210</v>
      </c>
      <c r="C52" s="450"/>
      <c r="D52" s="451"/>
      <c r="E52" s="451"/>
      <c r="F52" s="451"/>
      <c r="G52" s="451"/>
      <c r="H52" s="451"/>
      <c r="I52" s="452"/>
      <c r="J52" s="164"/>
    </row>
    <row r="53" spans="2:48" ht="45.75" thickBot="1">
      <c r="B53" s="453" t="s">
        <v>214</v>
      </c>
      <c r="C53" s="454" t="s">
        <v>240</v>
      </c>
      <c r="D53" s="455">
        <f>1000/12</f>
        <v>83.333333333333329</v>
      </c>
      <c r="E53" s="456" t="s">
        <v>129</v>
      </c>
      <c r="F53" s="457">
        <f>$D$53*F21</f>
        <v>15432.098765432096</v>
      </c>
      <c r="G53" s="457">
        <f>$D$53*G21</f>
        <v>40000</v>
      </c>
      <c r="H53" s="457">
        <f>$D$53*H21</f>
        <v>13888.888888888891</v>
      </c>
      <c r="I53" s="458" t="s">
        <v>267</v>
      </c>
      <c r="J53" s="439"/>
      <c r="K53" s="155"/>
      <c r="L53" s="155"/>
      <c r="M53" s="155"/>
      <c r="N53" s="153"/>
      <c r="O53" s="153"/>
      <c r="P53" s="153"/>
      <c r="Q53" s="153"/>
      <c r="R53" s="153"/>
      <c r="S53" s="153"/>
      <c r="T53" s="153"/>
      <c r="U53" s="153"/>
      <c r="V53" s="153"/>
      <c r="W53" s="153"/>
      <c r="X53" s="153"/>
      <c r="Y53" s="153"/>
      <c r="Z53" s="153"/>
      <c r="AA53" s="153"/>
      <c r="AB53" s="153"/>
      <c r="AC53" s="153"/>
      <c r="AD53" s="153"/>
      <c r="AE53" s="153"/>
      <c r="AF53" s="153"/>
      <c r="AG53" s="153"/>
      <c r="AH53" s="153"/>
      <c r="AI53" s="153"/>
      <c r="AJ53" s="153"/>
      <c r="AK53" s="153"/>
      <c r="AL53" s="153"/>
      <c r="AM53" s="153"/>
      <c r="AN53" s="153"/>
      <c r="AO53" s="153"/>
      <c r="AP53" s="153"/>
      <c r="AQ53" s="153"/>
      <c r="AR53" s="153"/>
      <c r="AS53" s="153"/>
      <c r="AT53" s="153"/>
      <c r="AU53" s="153"/>
      <c r="AV53" s="167"/>
    </row>
    <row r="54" spans="2:48" ht="36.75" customHeight="1" thickBot="1">
      <c r="B54" s="459" t="s">
        <v>213</v>
      </c>
      <c r="C54" s="460" t="s">
        <v>215</v>
      </c>
      <c r="D54" s="461">
        <v>18</v>
      </c>
      <c r="E54" s="462" t="s">
        <v>129</v>
      </c>
      <c r="F54" s="463">
        <f>$D$54*F21</f>
        <v>3333.333333333333</v>
      </c>
      <c r="G54" s="463">
        <f>$D$54*G21</f>
        <v>8640</v>
      </c>
      <c r="H54" s="463">
        <f>$D$54*H21</f>
        <v>3000.0000000000005</v>
      </c>
      <c r="I54" s="464" t="s">
        <v>239</v>
      </c>
      <c r="J54" s="439"/>
      <c r="K54" s="153"/>
      <c r="L54" s="153"/>
      <c r="M54" s="438"/>
      <c r="N54" s="153"/>
      <c r="O54" s="153"/>
      <c r="P54" s="153"/>
      <c r="Q54" s="153"/>
      <c r="R54" s="153"/>
      <c r="S54" s="153"/>
      <c r="T54" s="153"/>
      <c r="U54" s="153"/>
      <c r="V54" s="153"/>
      <c r="W54" s="153"/>
      <c r="X54" s="153"/>
      <c r="Y54" s="153"/>
      <c r="Z54" s="153"/>
      <c r="AA54" s="153"/>
      <c r="AB54" s="153"/>
      <c r="AC54" s="153"/>
      <c r="AD54" s="153"/>
      <c r="AE54" s="153"/>
      <c r="AF54" s="153"/>
      <c r="AG54" s="153"/>
      <c r="AH54" s="153"/>
      <c r="AI54" s="153"/>
      <c r="AJ54" s="153"/>
      <c r="AK54" s="153"/>
      <c r="AL54" s="153"/>
      <c r="AM54" s="153"/>
      <c r="AN54" s="153"/>
      <c r="AO54" s="153"/>
      <c r="AP54" s="153"/>
      <c r="AQ54" s="153"/>
      <c r="AR54" s="153"/>
      <c r="AS54" s="153"/>
      <c r="AT54" s="153"/>
      <c r="AU54" s="153"/>
      <c r="AV54" s="153"/>
    </row>
    <row r="57" spans="2:48">
      <c r="B57" s="517" t="s">
        <v>175</v>
      </c>
      <c r="C57" s="518"/>
      <c r="D57" s="518"/>
      <c r="E57" s="518"/>
      <c r="F57" s="519"/>
    </row>
    <row r="58" spans="2:48" ht="30">
      <c r="B58" s="412" t="s">
        <v>63</v>
      </c>
      <c r="C58" s="413" t="s">
        <v>176</v>
      </c>
      <c r="D58" s="413" t="s">
        <v>170</v>
      </c>
      <c r="E58" s="414"/>
      <c r="F58" s="415"/>
    </row>
    <row r="59" spans="2:48">
      <c r="B59" s="405" t="s">
        <v>64</v>
      </c>
      <c r="C59" s="406">
        <v>646.4</v>
      </c>
      <c r="D59" s="406" t="s">
        <v>65</v>
      </c>
      <c r="E59" s="407"/>
      <c r="F59" s="408"/>
    </row>
    <row r="60" spans="2:48">
      <c r="B60" s="405" t="s">
        <v>66</v>
      </c>
      <c r="C60" s="409">
        <v>697</v>
      </c>
      <c r="D60" s="410" t="s">
        <v>67</v>
      </c>
      <c r="E60" s="411"/>
      <c r="F60" s="408"/>
    </row>
  </sheetData>
  <mergeCells count="5">
    <mergeCell ref="B15:I15"/>
    <mergeCell ref="B3:I3"/>
    <mergeCell ref="B32:I32"/>
    <mergeCell ref="B1:I1"/>
    <mergeCell ref="B57:F5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79998168889431442"/>
  </sheetPr>
  <dimension ref="B1:G30"/>
  <sheetViews>
    <sheetView workbookViewId="0"/>
  </sheetViews>
  <sheetFormatPr defaultColWidth="8.625" defaultRowHeight="15.75"/>
  <cols>
    <col min="1" max="1" width="2.625" style="1" customWidth="1"/>
    <col min="2" max="2" width="21.5" style="1" bestFit="1" customWidth="1"/>
    <col min="3" max="3" width="25" style="1" customWidth="1"/>
    <col min="4" max="4" width="15.625" style="1" bestFit="1" customWidth="1"/>
    <col min="5" max="5" width="14.125" style="1" bestFit="1" customWidth="1"/>
    <col min="6" max="6" width="14.375" style="1" bestFit="1" customWidth="1"/>
    <col min="7" max="16384" width="8.625" style="1"/>
  </cols>
  <sheetData>
    <row r="1" spans="2:6" ht="25.5" customHeight="1" thickBot="1">
      <c r="B1" s="531" t="s">
        <v>140</v>
      </c>
      <c r="C1" s="532"/>
      <c r="D1" s="532"/>
      <c r="E1" s="532"/>
      <c r="F1" s="533"/>
    </row>
    <row r="2" spans="2:6">
      <c r="B2" s="291" t="s">
        <v>22</v>
      </c>
      <c r="C2" s="292" t="s">
        <v>23</v>
      </c>
      <c r="D2" s="293" t="s">
        <v>8</v>
      </c>
      <c r="E2" s="294" t="s">
        <v>108</v>
      </c>
      <c r="F2" s="295" t="s">
        <v>109</v>
      </c>
    </row>
    <row r="3" spans="2:6" ht="16.5" thickBot="1">
      <c r="B3" s="53" t="s">
        <v>34</v>
      </c>
      <c r="C3" s="67" t="s">
        <v>4</v>
      </c>
      <c r="D3" s="7">
        <f>'3. Energy_Resource_Calculations'!F17</f>
        <v>200000</v>
      </c>
      <c r="E3" s="7">
        <f>'3. Energy_Resource_Calculations'!G17</f>
        <v>4000000</v>
      </c>
      <c r="F3" s="13">
        <f>'3. Energy_Resource_Calculations'!H17</f>
        <v>20000000</v>
      </c>
    </row>
    <row r="4" spans="2:6" ht="16.5" thickBot="1">
      <c r="B4" s="520" t="s">
        <v>39</v>
      </c>
      <c r="C4" s="521"/>
      <c r="D4" s="521"/>
      <c r="E4" s="521"/>
      <c r="F4" s="522"/>
    </row>
    <row r="5" spans="2:6">
      <c r="B5" s="54" t="s">
        <v>197</v>
      </c>
      <c r="C5" s="54" t="s">
        <v>6</v>
      </c>
      <c r="D5" s="5">
        <f>'3. Energy_Resource_Calculations'!F23</f>
        <v>1000</v>
      </c>
      <c r="E5" s="8">
        <f>'3. Energy_Resource_Calculations'!G23</f>
        <v>20.8</v>
      </c>
      <c r="F5" s="14">
        <f>'3. Energy_Resource_Calculations'!H23</f>
        <v>104</v>
      </c>
    </row>
    <row r="6" spans="2:6">
      <c r="B6" s="55" t="s">
        <v>40</v>
      </c>
      <c r="C6" s="55" t="s">
        <v>6</v>
      </c>
      <c r="D6" s="64">
        <f>'3. Energy_Resource_Calculations'!F24</f>
        <v>6481.4814814814818</v>
      </c>
      <c r="E6" s="9">
        <f>'3. Energy_Resource_Calculations'!G24</f>
        <v>16800</v>
      </c>
      <c r="F6" s="15">
        <f>'3. Energy_Resource_Calculations'!H24</f>
        <v>1866.6666666666667</v>
      </c>
    </row>
    <row r="7" spans="2:6">
      <c r="B7" s="55" t="s">
        <v>43</v>
      </c>
      <c r="C7" s="55" t="s">
        <v>6</v>
      </c>
      <c r="D7" s="64">
        <f>'3. Energy_Resource_Calculations'!F26</f>
        <v>2466.0000000000005</v>
      </c>
      <c r="E7" s="9">
        <f>'3. Energy_Resource_Calculations'!G26</f>
        <v>5754.0000000000009</v>
      </c>
      <c r="F7" s="15">
        <f>'3. Energy_Resource_Calculations'!H26</f>
        <v>1644.0000000000002</v>
      </c>
    </row>
    <row r="8" spans="2:6">
      <c r="B8" s="55" t="s">
        <v>211</v>
      </c>
      <c r="C8" s="55" t="s">
        <v>6</v>
      </c>
      <c r="D8" s="64">
        <f>'3. Energy_Resource_Calculations'!F27</f>
        <v>994.74814814814818</v>
      </c>
      <c r="E8" s="9">
        <f>'3. Energy_Resource_Calculations'!G27</f>
        <v>2257.48</v>
      </c>
      <c r="F8" s="15">
        <f>'3. Energy_Resource_Calculations'!H27</f>
        <v>361.4666666666667</v>
      </c>
    </row>
    <row r="9" spans="2:6">
      <c r="B9" s="55" t="s">
        <v>45</v>
      </c>
      <c r="C9" s="55" t="s">
        <v>6</v>
      </c>
      <c r="D9" s="64">
        <f>'3. Energy_Resource_Calculations'!F28</f>
        <v>994.74814814814818</v>
      </c>
      <c r="E9" s="9">
        <f>'3. Energy_Resource_Calculations'!G28</f>
        <v>2257.48</v>
      </c>
      <c r="F9" s="15">
        <f>'3. Energy_Resource_Calculations'!H28</f>
        <v>361.4666666666667</v>
      </c>
    </row>
    <row r="10" spans="2:6" ht="16.5" thickBot="1">
      <c r="B10" s="56" t="s">
        <v>46</v>
      </c>
      <c r="C10" s="10" t="s">
        <v>116</v>
      </c>
      <c r="D10" s="473">
        <f>SUM(D5:D9)/1000</f>
        <v>11.936977777777779</v>
      </c>
      <c r="E10" s="473">
        <f>SUM(E5:E9)/1000</f>
        <v>27.089759999999998</v>
      </c>
      <c r="F10" s="474">
        <f>SUM(F5:F9)/1000</f>
        <v>4.3376000000000001</v>
      </c>
    </row>
    <row r="11" spans="2:6" ht="17.25" thickTop="1" thickBot="1">
      <c r="B11" s="523" t="s">
        <v>74</v>
      </c>
      <c r="C11" s="524"/>
      <c r="D11" s="525"/>
      <c r="E11" s="525"/>
      <c r="F11" s="526"/>
    </row>
    <row r="12" spans="2:6">
      <c r="B12" s="57" t="s">
        <v>197</v>
      </c>
      <c r="C12" s="57" t="s">
        <v>0</v>
      </c>
      <c r="D12" s="6">
        <f t="shared" ref="D12:F16" si="0">D5*1000/D$3</f>
        <v>5</v>
      </c>
      <c r="E12" s="17">
        <f t="shared" si="0"/>
        <v>5.1999999999999998E-3</v>
      </c>
      <c r="F12" s="52">
        <f t="shared" si="0"/>
        <v>5.1999999999999998E-3</v>
      </c>
    </row>
    <row r="13" spans="2:6">
      <c r="B13" s="58" t="s">
        <v>40</v>
      </c>
      <c r="C13" s="58" t="s">
        <v>0</v>
      </c>
      <c r="D13" s="65">
        <f t="shared" si="0"/>
        <v>32.407407407407405</v>
      </c>
      <c r="E13" s="11">
        <f t="shared" si="0"/>
        <v>4.2</v>
      </c>
      <c r="F13" s="470">
        <f t="shared" si="0"/>
        <v>9.3333333333333338E-2</v>
      </c>
    </row>
    <row r="14" spans="2:6">
      <c r="B14" s="58" t="s">
        <v>43</v>
      </c>
      <c r="C14" s="58" t="s">
        <v>0</v>
      </c>
      <c r="D14" s="65">
        <f t="shared" si="0"/>
        <v>12.330000000000002</v>
      </c>
      <c r="E14" s="11">
        <f t="shared" si="0"/>
        <v>1.4385000000000003</v>
      </c>
      <c r="F14" s="470">
        <f t="shared" si="0"/>
        <v>8.2200000000000009E-2</v>
      </c>
    </row>
    <row r="15" spans="2:6">
      <c r="B15" s="58" t="s">
        <v>211</v>
      </c>
      <c r="C15" s="58" t="s">
        <v>0</v>
      </c>
      <c r="D15" s="65">
        <f t="shared" si="0"/>
        <v>4.973740740740741</v>
      </c>
      <c r="E15" s="472">
        <f t="shared" si="0"/>
        <v>0.56437000000000004</v>
      </c>
      <c r="F15" s="470">
        <f t="shared" si="0"/>
        <v>1.8073333333333334E-2</v>
      </c>
    </row>
    <row r="16" spans="2:6">
      <c r="B16" s="58" t="s">
        <v>45</v>
      </c>
      <c r="C16" s="58" t="s">
        <v>0</v>
      </c>
      <c r="D16" s="65">
        <f t="shared" si="0"/>
        <v>4.973740740740741</v>
      </c>
      <c r="E16" s="472">
        <f t="shared" si="0"/>
        <v>0.56437000000000004</v>
      </c>
      <c r="F16" s="470">
        <f t="shared" si="0"/>
        <v>1.8073333333333334E-2</v>
      </c>
    </row>
    <row r="17" spans="2:7" ht="16.5" thickBot="1">
      <c r="B17" s="59" t="s">
        <v>46</v>
      </c>
      <c r="C17" s="12" t="s">
        <v>0</v>
      </c>
      <c r="D17" s="71">
        <f>D10*1000000/D$3</f>
        <v>59.684888888888892</v>
      </c>
      <c r="E17" s="71">
        <f>E10*1000000/E$3</f>
        <v>6.7724399999999996</v>
      </c>
      <c r="F17" s="471">
        <f>F10*1000000/F$3</f>
        <v>0.21687999999999999</v>
      </c>
    </row>
    <row r="18" spans="2:7" ht="17.25" thickTop="1" thickBot="1">
      <c r="B18" s="527" t="s">
        <v>75</v>
      </c>
      <c r="C18" s="528"/>
      <c r="D18" s="529"/>
      <c r="E18" s="529"/>
      <c r="F18" s="530"/>
    </row>
    <row r="19" spans="2:7" ht="16.5" thickBot="1">
      <c r="B19" s="60" t="s">
        <v>197</v>
      </c>
      <c r="C19" s="60" t="s">
        <v>212</v>
      </c>
      <c r="D19" s="74">
        <f>D5/(1000*D$10)</f>
        <v>8.3773298285067507E-2</v>
      </c>
      <c r="E19" s="72">
        <f t="shared" ref="E19:F19" si="1">E5/(1000*E$10)</f>
        <v>7.6781780274170022E-4</v>
      </c>
      <c r="F19" s="70">
        <f t="shared" si="1"/>
        <v>2.3976392475101437E-2</v>
      </c>
    </row>
    <row r="20" spans="2:7" ht="16.5" thickBot="1">
      <c r="B20" s="61" t="s">
        <v>40</v>
      </c>
      <c r="C20" s="61" t="s">
        <v>212</v>
      </c>
      <c r="D20" s="74">
        <f t="shared" ref="D20:F20" si="2">D6/(1000*D$10)</f>
        <v>0.54297508147728935</v>
      </c>
      <c r="E20" s="72">
        <f t="shared" si="2"/>
        <v>0.6201605329836809</v>
      </c>
      <c r="F20" s="70">
        <f t="shared" si="2"/>
        <v>0.43034550596335913</v>
      </c>
    </row>
    <row r="21" spans="2:7" ht="16.5" thickBot="1">
      <c r="B21" s="61" t="s">
        <v>43</v>
      </c>
      <c r="C21" s="61" t="s">
        <v>212</v>
      </c>
      <c r="D21" s="74">
        <f t="shared" ref="D21:F21" si="3">D7/(1000*D$10)</f>
        <v>0.2065849535709765</v>
      </c>
      <c r="E21" s="72">
        <f t="shared" si="3"/>
        <v>0.21240498254691076</v>
      </c>
      <c r="F21" s="70">
        <f t="shared" si="3"/>
        <v>0.37901143489487277</v>
      </c>
    </row>
    <row r="22" spans="2:7" ht="16.5" thickBot="1">
      <c r="B22" s="61" t="s">
        <v>211</v>
      </c>
      <c r="C22" s="61" t="s">
        <v>212</v>
      </c>
      <c r="D22" s="74">
        <f t="shared" ref="D22:F22" si="4">D8/(1000*D$10)</f>
        <v>8.3333333333333329E-2</v>
      </c>
      <c r="E22" s="72">
        <f t="shared" si="4"/>
        <v>8.3333333333333343E-2</v>
      </c>
      <c r="F22" s="70">
        <f t="shared" si="4"/>
        <v>8.3333333333333329E-2</v>
      </c>
    </row>
    <row r="23" spans="2:7">
      <c r="B23" s="61" t="s">
        <v>45</v>
      </c>
      <c r="C23" s="61" t="s">
        <v>212</v>
      </c>
      <c r="D23" s="74">
        <f t="shared" ref="D23:F23" si="5">D9/(1000*D$10)</f>
        <v>8.3333333333333329E-2</v>
      </c>
      <c r="E23" s="72">
        <f t="shared" si="5"/>
        <v>8.3333333333333343E-2</v>
      </c>
      <c r="F23" s="70">
        <f t="shared" si="5"/>
        <v>8.3333333333333329E-2</v>
      </c>
    </row>
    <row r="24" spans="2:7" ht="16.5" thickBot="1">
      <c r="B24" s="62" t="s">
        <v>46</v>
      </c>
      <c r="C24" s="62" t="s">
        <v>212</v>
      </c>
      <c r="D24" s="75">
        <f>D10/D$10</f>
        <v>1</v>
      </c>
      <c r="E24" s="73">
        <f>E10/E$10</f>
        <v>1</v>
      </c>
      <c r="F24" s="16">
        <f>F10/F$10</f>
        <v>1</v>
      </c>
    </row>
    <row r="25" spans="2:7" ht="17.25" thickTop="1" thickBot="1">
      <c r="B25" s="417" t="s">
        <v>77</v>
      </c>
      <c r="C25" s="417"/>
      <c r="D25" s="418"/>
      <c r="E25" s="418"/>
      <c r="F25" s="419"/>
    </row>
    <row r="26" spans="2:7" ht="27">
      <c r="B26" s="240" t="s">
        <v>64</v>
      </c>
      <c r="C26" s="241" t="s">
        <v>69</v>
      </c>
      <c r="D26" s="242">
        <f>'3. Energy_Resource_Calculations'!F51</f>
        <v>5243.022222222221</v>
      </c>
      <c r="E26" s="243">
        <f>'3. Energy_Resource_Calculations'!G51</f>
        <v>13589.9136</v>
      </c>
      <c r="F26" s="244">
        <f>'3. Energy_Resource_Calculations'!H51</f>
        <v>4718.72</v>
      </c>
    </row>
    <row r="27" spans="2:7" ht="27">
      <c r="B27" s="63" t="s">
        <v>78</v>
      </c>
      <c r="C27" s="68" t="s">
        <v>216</v>
      </c>
      <c r="D27" s="66">
        <f>'3. Energy_Resource_Calculations'!F54</f>
        <v>3333.333333333333</v>
      </c>
      <c r="E27" s="3">
        <f>'3. Energy_Resource_Calculations'!G54</f>
        <v>8640</v>
      </c>
      <c r="F27" s="4">
        <f>'3. Energy_Resource_Calculations'!H54</f>
        <v>3000.0000000000005</v>
      </c>
      <c r="G27" s="2"/>
    </row>
    <row r="28" spans="2:7" ht="30.95" customHeight="1">
      <c r="B28" s="245" t="s">
        <v>79</v>
      </c>
      <c r="C28" s="246" t="s">
        <v>242</v>
      </c>
      <c r="D28" s="247">
        <f>'3. Energy_Resource_Calculations'!F53</f>
        <v>15432.098765432096</v>
      </c>
      <c r="E28" s="248">
        <f>'3. Energy_Resource_Calculations'!G53</f>
        <v>40000</v>
      </c>
      <c r="F28" s="249">
        <f>'3. Energy_Resource_Calculations'!H53</f>
        <v>13888.888888888891</v>
      </c>
      <c r="G28" s="2"/>
    </row>
    <row r="29" spans="2:7" ht="16.5" thickBot="1">
      <c r="B29" s="250" t="s">
        <v>80</v>
      </c>
      <c r="C29" s="251" t="s">
        <v>81</v>
      </c>
      <c r="D29" s="252">
        <f>365*CONVERT('3. Energy_Resource_Calculations'!F43,"gal","l")</f>
        <v>44.766279757583995</v>
      </c>
      <c r="E29" s="252">
        <f>365*CONVERT('3. Energy_Resource_Calculations'!G43,"gal","l")</f>
        <v>104.45465276769599</v>
      </c>
      <c r="F29" s="296">
        <f>365*CONVERT('3. Energy_Resource_Calculations'!H43,"gal","l")</f>
        <v>29.844186505056001</v>
      </c>
      <c r="G29" s="2"/>
    </row>
    <row r="30" spans="2:7">
      <c r="B30" s="297" t="s">
        <v>80</v>
      </c>
      <c r="C30" s="298" t="s">
        <v>157</v>
      </c>
      <c r="D30" s="299">
        <f>'3. Energy_Resource_Calculations'!F43</f>
        <v>3.2399999999999998E-2</v>
      </c>
      <c r="E30" s="299">
        <f>'3. Energy_Resource_Calculations'!G43</f>
        <v>7.5600000000000001E-2</v>
      </c>
      <c r="F30" s="299">
        <f>'3. Energy_Resource_Calculations'!H43</f>
        <v>2.1600000000000001E-2</v>
      </c>
      <c r="G30" s="2"/>
    </row>
  </sheetData>
  <mergeCells count="4">
    <mergeCell ref="B4:F4"/>
    <mergeCell ref="B11:F11"/>
    <mergeCell ref="B18:F18"/>
    <mergeCell ref="B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Z56"/>
  <sheetViews>
    <sheetView workbookViewId="0"/>
  </sheetViews>
  <sheetFormatPr defaultColWidth="8.625" defaultRowHeight="15.75"/>
  <cols>
    <col min="1" max="1" width="3.625" style="18" customWidth="1"/>
    <col min="2" max="2" width="33.625" style="18" bestFit="1" customWidth="1"/>
    <col min="3" max="3" width="18.375" style="18" bestFit="1" customWidth="1"/>
    <col min="4" max="4" width="14.875" style="18" customWidth="1"/>
    <col min="5" max="5" width="15.125" style="18" bestFit="1" customWidth="1"/>
    <col min="6" max="6" width="19.375" style="18" bestFit="1" customWidth="1"/>
    <col min="7" max="7" width="13.625" style="18" bestFit="1" customWidth="1"/>
    <col min="8" max="8" width="18.5" style="18" customWidth="1"/>
    <col min="9" max="9" width="15.625" style="18" bestFit="1" customWidth="1"/>
    <col min="10" max="11" width="6.625" style="18" bestFit="1" customWidth="1"/>
    <col min="12" max="16384" width="8.625" style="18"/>
  </cols>
  <sheetData>
    <row r="1" spans="2:21" ht="22.5" customHeight="1" thickBot="1">
      <c r="B1" s="548" t="s">
        <v>172</v>
      </c>
      <c r="C1" s="548"/>
      <c r="D1" s="548"/>
      <c r="E1" s="548"/>
      <c r="F1" s="548"/>
      <c r="G1" s="24"/>
      <c r="H1" s="24"/>
      <c r="I1" s="24"/>
    </row>
    <row r="2" spans="2:21" ht="16.5" thickBot="1">
      <c r="B2" s="169" t="s">
        <v>138</v>
      </c>
      <c r="C2" s="170" t="s">
        <v>146</v>
      </c>
      <c r="D2" s="555" t="s">
        <v>189</v>
      </c>
      <c r="E2" s="556"/>
      <c r="F2" s="557"/>
      <c r="G2" s="24"/>
      <c r="H2" s="25" t="s">
        <v>150</v>
      </c>
      <c r="I2" s="168"/>
      <c r="L2" s="25" t="s">
        <v>159</v>
      </c>
    </row>
    <row r="3" spans="2:21" ht="26.1" customHeight="1">
      <c r="B3" s="171" t="s">
        <v>143</v>
      </c>
      <c r="C3" s="173">
        <v>2025</v>
      </c>
      <c r="D3" s="549" t="s">
        <v>217</v>
      </c>
      <c r="E3" s="550"/>
      <c r="F3" s="551"/>
      <c r="G3" s="24"/>
      <c r="H3" s="567" t="s">
        <v>151</v>
      </c>
      <c r="I3" s="567"/>
      <c r="L3" s="357" t="s">
        <v>160</v>
      </c>
      <c r="M3" s="357"/>
      <c r="T3" s="358" t="s">
        <v>80</v>
      </c>
    </row>
    <row r="4" spans="2:21" ht="15.95" customHeight="1">
      <c r="B4" s="173" t="s">
        <v>144</v>
      </c>
      <c r="C4" s="173">
        <v>2045</v>
      </c>
      <c r="D4" s="552" t="s">
        <v>218</v>
      </c>
      <c r="E4" s="553"/>
      <c r="F4" s="554"/>
      <c r="G4" s="24"/>
      <c r="H4" s="568" t="s">
        <v>103</v>
      </c>
      <c r="I4" s="568"/>
    </row>
    <row r="5" spans="2:21" ht="42.95" customHeight="1">
      <c r="B5" s="173" t="s">
        <v>137</v>
      </c>
      <c r="C5" s="173">
        <v>68</v>
      </c>
      <c r="D5" s="552" t="s">
        <v>166</v>
      </c>
      <c r="E5" s="553"/>
      <c r="F5" s="554"/>
      <c r="G5" s="24"/>
      <c r="H5" s="569" t="s">
        <v>24</v>
      </c>
      <c r="I5" s="569"/>
    </row>
    <row r="6" spans="2:21" s="208" customFormat="1" ht="42" customHeight="1">
      <c r="B6" s="173" t="s">
        <v>85</v>
      </c>
      <c r="C6" s="186">
        <v>75</v>
      </c>
      <c r="D6" s="552" t="s">
        <v>145</v>
      </c>
      <c r="E6" s="553"/>
      <c r="F6" s="554"/>
    </row>
    <row r="7" spans="2:21" s="208" customFormat="1" ht="30" customHeight="1">
      <c r="B7" s="173" t="s">
        <v>147</v>
      </c>
      <c r="C7" s="174">
        <v>0.1</v>
      </c>
      <c r="D7" s="552" t="s">
        <v>219</v>
      </c>
      <c r="E7" s="553"/>
      <c r="F7" s="554"/>
    </row>
    <row r="8" spans="2:21" s="208" customFormat="1" ht="30.95" customHeight="1" thickBot="1">
      <c r="B8" s="175" t="s">
        <v>148</v>
      </c>
      <c r="C8" s="176">
        <v>1</v>
      </c>
      <c r="D8" s="552" t="s">
        <v>220</v>
      </c>
      <c r="E8" s="553"/>
      <c r="F8" s="554"/>
    </row>
    <row r="9" spans="2:21" s="208" customFormat="1" ht="16.5" thickBot="1">
      <c r="B9" s="169" t="s">
        <v>149</v>
      </c>
      <c r="C9" s="169" t="s">
        <v>71</v>
      </c>
      <c r="D9" s="169" t="s">
        <v>72</v>
      </c>
      <c r="E9" s="169" t="s">
        <v>73</v>
      </c>
      <c r="F9" s="169" t="s">
        <v>24</v>
      </c>
    </row>
    <row r="10" spans="2:21" s="208" customFormat="1" ht="44.1" customHeight="1">
      <c r="B10" s="172" t="s">
        <v>8</v>
      </c>
      <c r="C10" s="177">
        <v>1</v>
      </c>
      <c r="D10" s="178">
        <v>0</v>
      </c>
      <c r="E10" s="179">
        <v>0</v>
      </c>
      <c r="F10" s="570" t="s">
        <v>221</v>
      </c>
    </row>
    <row r="11" spans="2:21" s="208" customFormat="1" ht="39" customHeight="1">
      <c r="B11" s="173" t="s">
        <v>108</v>
      </c>
      <c r="C11" s="180">
        <v>0</v>
      </c>
      <c r="D11" s="181">
        <v>1</v>
      </c>
      <c r="E11" s="182">
        <v>0</v>
      </c>
      <c r="F11" s="571"/>
      <c r="L11" s="359" t="s">
        <v>163</v>
      </c>
      <c r="M11" s="359"/>
      <c r="T11" s="360" t="s">
        <v>164</v>
      </c>
      <c r="U11" s="360"/>
    </row>
    <row r="12" spans="2:21" s="208" customFormat="1" ht="42" customHeight="1" thickBot="1">
      <c r="B12" s="175" t="s">
        <v>109</v>
      </c>
      <c r="C12" s="183">
        <v>0</v>
      </c>
      <c r="D12" s="184">
        <v>0</v>
      </c>
      <c r="E12" s="185">
        <v>1</v>
      </c>
      <c r="F12" s="572"/>
    </row>
    <row r="13" spans="2:21" s="208" customFormat="1" ht="16.5" thickBot="1">
      <c r="B13" s="169" t="s">
        <v>152</v>
      </c>
      <c r="C13" s="170" t="s">
        <v>146</v>
      </c>
      <c r="D13" s="556" t="s">
        <v>24</v>
      </c>
      <c r="E13" s="556"/>
      <c r="F13" s="557"/>
    </row>
    <row r="14" spans="2:21" s="208" customFormat="1" ht="33.950000000000003" customHeight="1">
      <c r="B14" s="188" t="s">
        <v>137</v>
      </c>
      <c r="C14" s="191">
        <f>(C6*(C4-C3))</f>
        <v>1500</v>
      </c>
      <c r="D14" s="558" t="s">
        <v>222</v>
      </c>
      <c r="E14" s="559"/>
      <c r="F14" s="560"/>
    </row>
    <row r="15" spans="2:21" s="208" customFormat="1" ht="27.95" customHeight="1">
      <c r="B15" s="189" t="s">
        <v>153</v>
      </c>
      <c r="C15" s="192">
        <f>ROUNDUP(C7*C14,0)</f>
        <v>150</v>
      </c>
      <c r="D15" s="561"/>
      <c r="E15" s="562"/>
      <c r="F15" s="563"/>
    </row>
    <row r="16" spans="2:21" s="208" customFormat="1" ht="33.950000000000003" customHeight="1" thickBot="1">
      <c r="B16" s="190" t="s">
        <v>154</v>
      </c>
      <c r="C16" s="193">
        <f>C8*C14</f>
        <v>1500</v>
      </c>
      <c r="D16" s="564"/>
      <c r="E16" s="565"/>
      <c r="F16" s="566"/>
    </row>
    <row r="17" spans="2:26" s="208" customFormat="1" ht="16.5" thickBot="1">
      <c r="B17" s="169" t="s">
        <v>156</v>
      </c>
      <c r="C17" s="169" t="s">
        <v>71</v>
      </c>
      <c r="D17" s="169" t="s">
        <v>72</v>
      </c>
      <c r="E17" s="169" t="s">
        <v>73</v>
      </c>
      <c r="F17" s="169" t="s">
        <v>155</v>
      </c>
    </row>
    <row r="18" spans="2:26" s="208" customFormat="1">
      <c r="B18" s="188" t="s">
        <v>8</v>
      </c>
      <c r="C18" s="194">
        <f t="shared" ref="C18:E20" si="0">ROUNDUP(C10*$C$15,0)</f>
        <v>150</v>
      </c>
      <c r="D18" s="195">
        <f t="shared" si="0"/>
        <v>0</v>
      </c>
      <c r="E18" s="196">
        <f t="shared" si="0"/>
        <v>0</v>
      </c>
      <c r="F18" s="173">
        <v>2</v>
      </c>
      <c r="G18" s="397"/>
    </row>
    <row r="19" spans="2:26" s="208" customFormat="1">
      <c r="B19" s="189" t="s">
        <v>108</v>
      </c>
      <c r="C19" s="197">
        <f t="shared" si="0"/>
        <v>0</v>
      </c>
      <c r="D19" s="187">
        <f t="shared" si="0"/>
        <v>150</v>
      </c>
      <c r="E19" s="198">
        <f t="shared" si="0"/>
        <v>0</v>
      </c>
      <c r="F19" s="173">
        <v>2</v>
      </c>
    </row>
    <row r="20" spans="2:26" s="208" customFormat="1" ht="16.5" thickBot="1">
      <c r="B20" s="190" t="s">
        <v>109</v>
      </c>
      <c r="C20" s="199">
        <f t="shared" si="0"/>
        <v>0</v>
      </c>
      <c r="D20" s="200">
        <f t="shared" si="0"/>
        <v>0</v>
      </c>
      <c r="E20" s="201">
        <f t="shared" si="0"/>
        <v>150</v>
      </c>
      <c r="F20" s="173">
        <v>2</v>
      </c>
    </row>
    <row r="21" spans="2:26" ht="16.5" thickBot="1">
      <c r="B21" s="424" t="s">
        <v>223</v>
      </c>
      <c r="C21" s="169" t="s">
        <v>71</v>
      </c>
      <c r="D21" s="169" t="s">
        <v>72</v>
      </c>
      <c r="E21" s="169" t="s">
        <v>73</v>
      </c>
      <c r="F21" s="169" t="s">
        <v>155</v>
      </c>
    </row>
    <row r="22" spans="2:26">
      <c r="B22" s="188" t="s">
        <v>8</v>
      </c>
      <c r="C22" s="194">
        <f t="shared" ref="C22:E24" si="1">ROUNDUP(C10*$C$16,0)</f>
        <v>1500</v>
      </c>
      <c r="D22" s="195">
        <f t="shared" si="1"/>
        <v>0</v>
      </c>
      <c r="E22" s="196">
        <f t="shared" si="1"/>
        <v>0</v>
      </c>
      <c r="F22" s="173">
        <v>2</v>
      </c>
    </row>
    <row r="23" spans="2:26">
      <c r="B23" s="189" t="s">
        <v>9</v>
      </c>
      <c r="C23" s="197">
        <f t="shared" si="1"/>
        <v>0</v>
      </c>
      <c r="D23" s="187">
        <f t="shared" si="1"/>
        <v>1500</v>
      </c>
      <c r="E23" s="198">
        <f t="shared" si="1"/>
        <v>0</v>
      </c>
      <c r="F23" s="173">
        <v>2</v>
      </c>
      <c r="L23" s="361" t="s">
        <v>165</v>
      </c>
      <c r="M23" s="361"/>
      <c r="U23" s="279"/>
      <c r="V23" s="279"/>
      <c r="W23" s="279" t="s">
        <v>179</v>
      </c>
      <c r="X23" s="279" t="s">
        <v>227</v>
      </c>
      <c r="Y23" s="279"/>
      <c r="Z23" s="279"/>
    </row>
    <row r="24" spans="2:26" ht="16.5" thickBot="1">
      <c r="B24" s="190" t="s">
        <v>10</v>
      </c>
      <c r="C24" s="199">
        <f t="shared" si="1"/>
        <v>0</v>
      </c>
      <c r="D24" s="200">
        <f t="shared" si="1"/>
        <v>0</v>
      </c>
      <c r="E24" s="201">
        <f t="shared" si="1"/>
        <v>1500</v>
      </c>
      <c r="F24" s="175">
        <v>2</v>
      </c>
      <c r="U24" s="279"/>
      <c r="V24" s="279">
        <v>2025</v>
      </c>
      <c r="W24" s="279">
        <v>359</v>
      </c>
      <c r="X24" s="279">
        <v>0</v>
      </c>
      <c r="Y24" s="279"/>
      <c r="Z24" s="279"/>
    </row>
    <row r="25" spans="2:26">
      <c r="U25" s="546">
        <v>2045</v>
      </c>
      <c r="V25" s="279" t="s">
        <v>161</v>
      </c>
      <c r="W25" s="362">
        <f>C14-C15</f>
        <v>1350</v>
      </c>
      <c r="X25" s="362">
        <f>C15</f>
        <v>150</v>
      </c>
      <c r="Y25" s="279"/>
      <c r="Z25" s="279"/>
    </row>
    <row r="26" spans="2:26" ht="16.5" thickBot="1">
      <c r="B26" s="547" t="s">
        <v>174</v>
      </c>
      <c r="C26" s="547"/>
      <c r="D26" s="547"/>
      <c r="E26" s="547"/>
      <c r="F26" s="547"/>
      <c r="G26"/>
      <c r="U26" s="546"/>
      <c r="V26" s="279" t="s">
        <v>162</v>
      </c>
      <c r="W26" s="279">
        <v>0</v>
      </c>
      <c r="X26" s="362">
        <f>C16</f>
        <v>1500</v>
      </c>
      <c r="Y26" s="279"/>
      <c r="Z26" s="279"/>
    </row>
    <row r="27" spans="2:26" ht="16.5" thickBot="1">
      <c r="B27" s="540" t="s">
        <v>22</v>
      </c>
      <c r="C27" s="543" t="s">
        <v>23</v>
      </c>
      <c r="D27" s="354" t="s">
        <v>71</v>
      </c>
      <c r="E27" s="355" t="s">
        <v>72</v>
      </c>
      <c r="F27" s="356" t="s">
        <v>73</v>
      </c>
      <c r="G27" s="355" t="s">
        <v>71</v>
      </c>
      <c r="H27" s="355" t="s">
        <v>72</v>
      </c>
      <c r="I27" s="356" t="s">
        <v>73</v>
      </c>
      <c r="U27" s="280"/>
      <c r="V27" s="279"/>
      <c r="W27" s="279"/>
      <c r="X27" s="279"/>
      <c r="Y27" s="279"/>
      <c r="Z27" s="279"/>
    </row>
    <row r="28" spans="2:26" ht="16.5" thickBot="1">
      <c r="B28" s="541"/>
      <c r="C28" s="544"/>
      <c r="D28" s="537" t="s">
        <v>161</v>
      </c>
      <c r="E28" s="538"/>
      <c r="F28" s="539"/>
      <c r="G28" s="534" t="s">
        <v>162</v>
      </c>
      <c r="H28" s="535"/>
      <c r="I28" s="536"/>
    </row>
    <row r="29" spans="2:26" ht="16.5" thickBot="1">
      <c r="B29" s="542"/>
      <c r="C29" s="545"/>
      <c r="D29" s="209" t="s">
        <v>169</v>
      </c>
      <c r="E29" s="202" t="s">
        <v>169</v>
      </c>
      <c r="F29" s="210" t="s">
        <v>169</v>
      </c>
      <c r="G29" s="209" t="s">
        <v>169</v>
      </c>
      <c r="H29" s="202" t="s">
        <v>169</v>
      </c>
      <c r="I29" s="210" t="s">
        <v>169</v>
      </c>
      <c r="J29" s="208"/>
    </row>
    <row r="30" spans="2:26" ht="16.5" thickBot="1">
      <c r="B30" s="204" t="s">
        <v>34</v>
      </c>
      <c r="C30" s="205" t="s">
        <v>4</v>
      </c>
      <c r="D30" s="206">
        <f t="shared" ref="D30:I30" si="2">SUM(D31:D33)</f>
        <v>60000000</v>
      </c>
      <c r="E30" s="304">
        <f t="shared" si="2"/>
        <v>1200000000</v>
      </c>
      <c r="F30" s="207">
        <f t="shared" si="2"/>
        <v>6000000000</v>
      </c>
      <c r="G30" s="206">
        <f t="shared" si="2"/>
        <v>600000000</v>
      </c>
      <c r="H30" s="304">
        <f t="shared" si="2"/>
        <v>12000000000</v>
      </c>
      <c r="I30" s="207">
        <f t="shared" si="2"/>
        <v>60000000000</v>
      </c>
      <c r="J30" s="208"/>
    </row>
    <row r="31" spans="2:26">
      <c r="B31" s="221" t="s">
        <v>8</v>
      </c>
      <c r="C31" s="222" t="s">
        <v>4</v>
      </c>
      <c r="D31" s="223">
        <f>'4.Energy_Resource_Quant_Summary'!D3*$C$18*$F$18</f>
        <v>60000000</v>
      </c>
      <c r="E31" s="224">
        <f>'4.Energy_Resource_Quant_Summary'!D3*$D$18*$F$18</f>
        <v>0</v>
      </c>
      <c r="F31" s="225">
        <f>'4.Energy_Resource_Quant_Summary'!D3*$E$18*$F$18</f>
        <v>0</v>
      </c>
      <c r="G31" s="223">
        <f>'4.Energy_Resource_Quant_Summary'!D3*$C$22*$F$22</f>
        <v>600000000</v>
      </c>
      <c r="H31" s="224">
        <f>'4.Energy_Resource_Quant_Summary'!D3*$D$22*$F$22</f>
        <v>0</v>
      </c>
      <c r="I31" s="225">
        <f>'4.Energy_Resource_Quant_Summary'!D3*$E$22*$F$22</f>
        <v>0</v>
      </c>
      <c r="J31" s="208"/>
    </row>
    <row r="32" spans="2:26">
      <c r="B32" s="216" t="s">
        <v>108</v>
      </c>
      <c r="C32" s="217" t="s">
        <v>4</v>
      </c>
      <c r="D32" s="218">
        <f>'4.Energy_Resource_Quant_Summary'!E3*$C$19*$F$19</f>
        <v>0</v>
      </c>
      <c r="E32" s="219">
        <f>'4.Energy_Resource_Quant_Summary'!E3*$D$19*$F$19</f>
        <v>1200000000</v>
      </c>
      <c r="F32" s="220">
        <f>'4.Energy_Resource_Quant_Summary'!E3*$E$19*$F$19</f>
        <v>0</v>
      </c>
      <c r="G32" s="218">
        <f>'4.Energy_Resource_Quant_Summary'!E3*$C$23*$F$23</f>
        <v>0</v>
      </c>
      <c r="H32" s="219">
        <f>'4.Energy_Resource_Quant_Summary'!E3*$D$23*$F$23</f>
        <v>12000000000</v>
      </c>
      <c r="I32" s="220">
        <f>'4.Energy_Resource_Quant_Summary'!E3*$E$23*$F$23</f>
        <v>0</v>
      </c>
      <c r="J32" s="208"/>
    </row>
    <row r="33" spans="2:18" ht="16.5" thickBot="1">
      <c r="B33" s="211" t="s">
        <v>109</v>
      </c>
      <c r="C33" s="212" t="s">
        <v>4</v>
      </c>
      <c r="D33" s="213">
        <f>'4.Energy_Resource_Quant_Summary'!F3*$C$20*$F$20</f>
        <v>0</v>
      </c>
      <c r="E33" s="214">
        <f>'4.Energy_Resource_Quant_Summary'!F3*$D$20*$F$20</f>
        <v>0</v>
      </c>
      <c r="F33" s="215">
        <f>'4.Energy_Resource_Quant_Summary'!F3*$E$20*$F$20</f>
        <v>6000000000</v>
      </c>
      <c r="G33" s="213">
        <f>'4.Energy_Resource_Quant_Summary'!F3*$C$24*$F$24</f>
        <v>0</v>
      </c>
      <c r="H33" s="214">
        <f>'4.Energy_Resource_Quant_Summary'!F3*$D$24*$F$24</f>
        <v>0</v>
      </c>
      <c r="I33" s="215">
        <f>'4.Energy_Resource_Quant_Summary'!F3*$E$24*$F$24</f>
        <v>60000000000</v>
      </c>
      <c r="J33" s="208"/>
    </row>
    <row r="34" spans="2:18" ht="16.5" thickBot="1">
      <c r="B34" s="336" t="s">
        <v>158</v>
      </c>
      <c r="C34" s="337" t="s">
        <v>76</v>
      </c>
      <c r="D34" s="343">
        <f>SUM(D35:D37)</f>
        <v>3.5810933333333339</v>
      </c>
      <c r="E34" s="344">
        <f t="shared" ref="E34:I34" si="3">SUM(E35:E37)</f>
        <v>8.1269279999999995</v>
      </c>
      <c r="F34" s="345">
        <f t="shared" si="3"/>
        <v>1.3012800000000002</v>
      </c>
      <c r="G34" s="343">
        <f t="shared" si="3"/>
        <v>35.810933333333338</v>
      </c>
      <c r="H34" s="344">
        <f t="shared" si="3"/>
        <v>81.269279999999995</v>
      </c>
      <c r="I34" s="345">
        <f t="shared" si="3"/>
        <v>13.012800000000002</v>
      </c>
      <c r="J34" s="208"/>
    </row>
    <row r="35" spans="2:18">
      <c r="B35" s="221" t="s">
        <v>8</v>
      </c>
      <c r="C35" s="212" t="s">
        <v>76</v>
      </c>
      <c r="D35" s="223">
        <f>0.001*'4.Energy_Resource_Quant_Summary'!D10*$C$18*$F$18</f>
        <v>3.5810933333333339</v>
      </c>
      <c r="E35" s="224">
        <f>0.001*'4.Energy_Resource_Quant_Summary'!D10*$D$18*$F$18</f>
        <v>0</v>
      </c>
      <c r="F35" s="225">
        <f>0.001*'4.Energy_Resource_Quant_Summary'!D10*$E$18*$F$18</f>
        <v>0</v>
      </c>
      <c r="G35" s="223">
        <f>0.001*'4.Energy_Resource_Quant_Summary'!D10*$C$22*$F$22</f>
        <v>35.810933333333338</v>
      </c>
      <c r="H35" s="224">
        <f>0.001*'4.Energy_Resource_Quant_Summary'!D10*$D$22*$F$22</f>
        <v>0</v>
      </c>
      <c r="I35" s="225">
        <f>0.001*'4.Energy_Resource_Quant_Summary'!D10*$E$22*$F$22</f>
        <v>0</v>
      </c>
      <c r="J35" s="208"/>
    </row>
    <row r="36" spans="2:18">
      <c r="B36" s="216" t="s">
        <v>108</v>
      </c>
      <c r="C36" s="203" t="s">
        <v>76</v>
      </c>
      <c r="D36" s="218">
        <f>0.001*'4.Energy_Resource_Quant_Summary'!E10*$C$19*$F$19</f>
        <v>0</v>
      </c>
      <c r="E36" s="219">
        <f>0.001*'4.Energy_Resource_Quant_Summary'!E10*$D$19*$F$19</f>
        <v>8.1269279999999995</v>
      </c>
      <c r="F36" s="220">
        <f>0.001*'4.Energy_Resource_Quant_Summary'!E10*$E$19*$F$19</f>
        <v>0</v>
      </c>
      <c r="G36" s="218">
        <f>0.001*'4.Energy_Resource_Quant_Summary'!E10*$C$23*$F$23</f>
        <v>0</v>
      </c>
      <c r="H36" s="219">
        <f>0.001*'4.Energy_Resource_Quant_Summary'!E10*$D$23*$F$23</f>
        <v>81.269279999999995</v>
      </c>
      <c r="I36" s="220">
        <f>0.001*'4.Energy_Resource_Quant_Summary'!E10*$E$23*$F$23</f>
        <v>0</v>
      </c>
      <c r="J36" s="208"/>
    </row>
    <row r="37" spans="2:18" ht="16.5" thickBot="1">
      <c r="B37" s="338" t="s">
        <v>109</v>
      </c>
      <c r="C37" s="339" t="s">
        <v>76</v>
      </c>
      <c r="D37" s="340">
        <f>0.001*'4.Energy_Resource_Quant_Summary'!F10*$C$20*$F$20</f>
        <v>0</v>
      </c>
      <c r="E37" s="341">
        <f>0.001*'4.Energy_Resource_Quant_Summary'!F10*$D$20*$F$20</f>
        <v>0</v>
      </c>
      <c r="F37" s="342">
        <f>0.001*'4.Energy_Resource_Quant_Summary'!F10*$E$20*$F$20</f>
        <v>1.3012800000000002</v>
      </c>
      <c r="G37" s="340">
        <f>0.001*'4.Energy_Resource_Quant_Summary'!F10*$C$24*$F$24</f>
        <v>0</v>
      </c>
      <c r="H37" s="341">
        <f>0.001*'4.Energy_Resource_Quant_Summary'!F10*$D$24*$F$24</f>
        <v>0</v>
      </c>
      <c r="I37" s="342">
        <f>0.001*'4.Energy_Resource_Quant_Summary'!F10*$E$24*$F$24</f>
        <v>13.012800000000002</v>
      </c>
      <c r="J37" s="208"/>
    </row>
    <row r="38" spans="2:18" ht="16.5" thickBot="1">
      <c r="B38" s="351" t="s">
        <v>82</v>
      </c>
      <c r="C38" s="351"/>
      <c r="D38" s="351"/>
      <c r="E38" s="352"/>
      <c r="F38" s="353"/>
      <c r="G38" s="351"/>
      <c r="H38" s="352"/>
      <c r="I38" s="353"/>
      <c r="J38" s="346"/>
    </row>
    <row r="39" spans="2:18" ht="36" customHeight="1" thickBot="1">
      <c r="B39" s="327" t="s">
        <v>64</v>
      </c>
      <c r="C39" s="425" t="s">
        <v>69</v>
      </c>
      <c r="D39" s="328">
        <f t="shared" ref="D39:I39" si="4">SUM(D40:D42)</f>
        <v>1572906.6666666663</v>
      </c>
      <c r="E39" s="329">
        <f t="shared" si="4"/>
        <v>4076974.0800000001</v>
      </c>
      <c r="F39" s="330">
        <f t="shared" si="4"/>
        <v>1415616</v>
      </c>
      <c r="G39" s="328">
        <f t="shared" si="4"/>
        <v>15729066.666666662</v>
      </c>
      <c r="H39" s="329">
        <f t="shared" si="4"/>
        <v>40769740.799999997</v>
      </c>
      <c r="I39" s="330">
        <f t="shared" si="4"/>
        <v>14156160</v>
      </c>
      <c r="J39" s="346"/>
      <c r="M39" s="347"/>
      <c r="N39" s="347"/>
      <c r="O39" s="347"/>
      <c r="P39" s="348"/>
      <c r="Q39" s="348"/>
      <c r="R39" s="348"/>
    </row>
    <row r="40" spans="2:18" ht="27" customHeight="1">
      <c r="B40" s="261" t="s">
        <v>8</v>
      </c>
      <c r="C40" s="269" t="s">
        <v>69</v>
      </c>
      <c r="D40" s="262">
        <f>'4.Energy_Resource_Quant_Summary'!D26*$C$18*$F$18</f>
        <v>1572906.6666666663</v>
      </c>
      <c r="E40" s="263">
        <f>'4.Energy_Resource_Quant_Summary'!D26*$D$18*$F$18</f>
        <v>0</v>
      </c>
      <c r="F40" s="264">
        <f>'4.Energy_Resource_Quant_Summary'!D26*$E$18*$F$18</f>
        <v>0</v>
      </c>
      <c r="G40" s="262">
        <f>'4.Energy_Resource_Quant_Summary'!D26*$C$22*$F$22</f>
        <v>15729066.666666662</v>
      </c>
      <c r="H40" s="263">
        <f>'4.Energy_Resource_Quant_Summary'!D26*$D$22*$F$22</f>
        <v>0</v>
      </c>
      <c r="I40" s="264">
        <f>'4.Energy_Resource_Quant_Summary'!D26*$E$22*$F$22</f>
        <v>0</v>
      </c>
      <c r="J40" s="346"/>
      <c r="M40" s="349"/>
      <c r="N40" s="349"/>
      <c r="O40" s="349"/>
      <c r="P40" s="349"/>
      <c r="Q40" s="349"/>
      <c r="R40" s="349"/>
    </row>
    <row r="41" spans="2:18" ht="27" customHeight="1">
      <c r="B41" s="265" t="s">
        <v>108</v>
      </c>
      <c r="C41" s="270" t="s">
        <v>69</v>
      </c>
      <c r="D41" s="266">
        <f>'4.Energy_Resource_Quant_Summary'!E26*$C$19*$F$19</f>
        <v>0</v>
      </c>
      <c r="E41" s="267">
        <f>'4.Energy_Resource_Quant_Summary'!E26*$D$19*$F$19</f>
        <v>4076974.0800000001</v>
      </c>
      <c r="F41" s="268">
        <f>'4.Energy_Resource_Quant_Summary'!E26*$E$19*$F$19</f>
        <v>0</v>
      </c>
      <c r="G41" s="266">
        <f>'4.Energy_Resource_Quant_Summary'!E26*$C$23*$F$23</f>
        <v>0</v>
      </c>
      <c r="H41" s="267">
        <f>'4.Energy_Resource_Quant_Summary'!E26*$D$23*$F$23</f>
        <v>40769740.799999997</v>
      </c>
      <c r="I41" s="268">
        <f>'4.Energy_Resource_Quant_Summary'!E26*$E$23*$F$23</f>
        <v>0</v>
      </c>
      <c r="J41" s="346"/>
    </row>
    <row r="42" spans="2:18" ht="32.1" customHeight="1" thickBot="1">
      <c r="B42" s="331" t="s">
        <v>109</v>
      </c>
      <c r="C42" s="332" t="s">
        <v>69</v>
      </c>
      <c r="D42" s="333">
        <f>'4.Energy_Resource_Quant_Summary'!F26*$C$20*$F$20</f>
        <v>0</v>
      </c>
      <c r="E42" s="334">
        <f>'4.Energy_Resource_Quant_Summary'!F26*$D$20*$F$20</f>
        <v>0</v>
      </c>
      <c r="F42" s="335">
        <f>'4.Energy_Resource_Quant_Summary'!F26*$E$20*$F$20</f>
        <v>1415616</v>
      </c>
      <c r="G42" s="333">
        <f>'4.Energy_Resource_Quant_Summary'!F26*$C$24*$F$24</f>
        <v>0</v>
      </c>
      <c r="H42" s="334">
        <f>'4.Energy_Resource_Quant_Summary'!F26*$D$24*$F$24</f>
        <v>0</v>
      </c>
      <c r="I42" s="335">
        <f>'4.Energy_Resource_Quant_Summary'!F26*$E$24*$F$24</f>
        <v>14156160</v>
      </c>
      <c r="J42" s="346"/>
    </row>
    <row r="43" spans="2:18" ht="30.75" thickBot="1">
      <c r="B43" s="319" t="s">
        <v>78</v>
      </c>
      <c r="C43" s="426" t="s">
        <v>167</v>
      </c>
      <c r="D43" s="320">
        <f t="shared" ref="D43:I43" si="5">SUM(D44:D46)</f>
        <v>999999.99999999988</v>
      </c>
      <c r="E43" s="321">
        <f t="shared" si="5"/>
        <v>2592000</v>
      </c>
      <c r="F43" s="322">
        <f t="shared" si="5"/>
        <v>900000.00000000012</v>
      </c>
      <c r="G43" s="320">
        <f t="shared" si="5"/>
        <v>10000000</v>
      </c>
      <c r="H43" s="321">
        <f t="shared" si="5"/>
        <v>25920000</v>
      </c>
      <c r="I43" s="322">
        <f t="shared" si="5"/>
        <v>9000000.0000000019</v>
      </c>
      <c r="J43" s="208"/>
    </row>
    <row r="44" spans="2:18" ht="30">
      <c r="B44" s="253" t="s">
        <v>8</v>
      </c>
      <c r="C44" s="427" t="s">
        <v>167</v>
      </c>
      <c r="D44" s="254">
        <f>'4.Energy_Resource_Quant_Summary'!D27*$C$18*$F$18</f>
        <v>999999.99999999988</v>
      </c>
      <c r="E44" s="255">
        <f>'4.Energy_Resource_Quant_Summary'!D27*$D$18*$F$18</f>
        <v>0</v>
      </c>
      <c r="F44" s="256">
        <f>'4.Energy_Resource_Quant_Summary'!D27*$E$18*$F$18</f>
        <v>0</v>
      </c>
      <c r="G44" s="254">
        <f>'4.Energy_Resource_Quant_Summary'!D27*$C$22*$F$22</f>
        <v>10000000</v>
      </c>
      <c r="H44" s="255">
        <f>'4.Energy_Resource_Quant_Summary'!D27*$D$22*$F$22</f>
        <v>0</v>
      </c>
      <c r="I44" s="256">
        <f>'4.Energy_Resource_Quant_Summary'!D27*$E$22*$F$22</f>
        <v>0</v>
      </c>
      <c r="J44" s="208"/>
      <c r="L44" s="347"/>
      <c r="M44" s="350"/>
    </row>
    <row r="45" spans="2:18" ht="30">
      <c r="B45" s="257" t="s">
        <v>108</v>
      </c>
      <c r="C45" s="427" t="s">
        <v>167</v>
      </c>
      <c r="D45" s="258">
        <f>'4.Energy_Resource_Quant_Summary'!E27*$C$19*$F$19</f>
        <v>0</v>
      </c>
      <c r="E45" s="259">
        <f>'4.Energy_Resource_Quant_Summary'!E27*$D$19*$F$19</f>
        <v>2592000</v>
      </c>
      <c r="F45" s="260">
        <f>'4.Energy_Resource_Quant_Summary'!E27*$E$19*$F$19</f>
        <v>0</v>
      </c>
      <c r="G45" s="258">
        <f>'4.Energy_Resource_Quant_Summary'!E27*$C$23*$F$23</f>
        <v>0</v>
      </c>
      <c r="H45" s="259">
        <f>'4.Energy_Resource_Quant_Summary'!E27*$D$23*$F$23</f>
        <v>25920000</v>
      </c>
      <c r="I45" s="260">
        <f>'4.Energy_Resource_Quant_Summary'!E27*$E$23*$F$23</f>
        <v>0</v>
      </c>
      <c r="J45" s="208"/>
      <c r="L45" s="347"/>
      <c r="M45" s="350"/>
    </row>
    <row r="46" spans="2:18" ht="30.75" thickBot="1">
      <c r="B46" s="323" t="s">
        <v>109</v>
      </c>
      <c r="C46" s="428" t="s">
        <v>167</v>
      </c>
      <c r="D46" s="324">
        <f>'4.Energy_Resource_Quant_Summary'!F27*$C$20*$F$20</f>
        <v>0</v>
      </c>
      <c r="E46" s="325">
        <f>'4.Energy_Resource_Quant_Summary'!F27*$D$20*$F$20</f>
        <v>0</v>
      </c>
      <c r="F46" s="326">
        <f>'4.Energy_Resource_Quant_Summary'!F27*$E$20*$F$20</f>
        <v>900000.00000000012</v>
      </c>
      <c r="G46" s="324">
        <f>'4.Energy_Resource_Quant_Summary'!F27*$C$24*$F$24</f>
        <v>0</v>
      </c>
      <c r="H46" s="325">
        <f>'4.Energy_Resource_Quant_Summary'!F27*$D$24*$F$24</f>
        <v>0</v>
      </c>
      <c r="I46" s="326">
        <f>'4.Energy_Resource_Quant_Summary'!F27*$E$24*$F$24</f>
        <v>9000000.0000000019</v>
      </c>
      <c r="J46" s="208"/>
      <c r="L46" s="347"/>
      <c r="M46" s="350"/>
    </row>
    <row r="47" spans="2:18" ht="30.75" thickBot="1">
      <c r="B47" s="311" t="s">
        <v>79</v>
      </c>
      <c r="C47" s="429" t="s">
        <v>243</v>
      </c>
      <c r="D47" s="312">
        <f t="shared" ref="D47:I47" si="6">SUM(D48:D50)</f>
        <v>4629629.6296296287</v>
      </c>
      <c r="E47" s="313">
        <f t="shared" si="6"/>
        <v>12000000</v>
      </c>
      <c r="F47" s="314">
        <f t="shared" si="6"/>
        <v>4166666.666666667</v>
      </c>
      <c r="G47" s="312">
        <f t="shared" si="6"/>
        <v>46296296.296296291</v>
      </c>
      <c r="H47" s="313">
        <f t="shared" si="6"/>
        <v>120000000</v>
      </c>
      <c r="I47" s="314">
        <f t="shared" si="6"/>
        <v>41666666.666666672</v>
      </c>
      <c r="J47" s="208"/>
      <c r="L47" s="348"/>
      <c r="M47" s="350"/>
    </row>
    <row r="48" spans="2:18" ht="30">
      <c r="B48" s="271" t="s">
        <v>8</v>
      </c>
      <c r="C48" s="430" t="s">
        <v>243</v>
      </c>
      <c r="D48" s="272">
        <f>'4.Energy_Resource_Quant_Summary'!D28*$C$18*$F$18</f>
        <v>4629629.6296296287</v>
      </c>
      <c r="E48" s="273">
        <f>'4.Energy_Resource_Quant_Summary'!D28*$D$18*$F$18</f>
        <v>0</v>
      </c>
      <c r="F48" s="274">
        <f>'4.Energy_Resource_Quant_Summary'!D28*$E$18*$F$18</f>
        <v>0</v>
      </c>
      <c r="G48" s="272">
        <f>'4.Energy_Resource_Quant_Summary'!D28*$C$22*$F$22</f>
        <v>46296296.296296291</v>
      </c>
      <c r="H48" s="273">
        <f>'4.Energy_Resource_Quant_Summary'!D28*$D$22*$F$22</f>
        <v>0</v>
      </c>
      <c r="I48" s="274">
        <f>'4.Energy_Resource_Quant_Summary'!D28*$E$22*$F$22</f>
        <v>0</v>
      </c>
      <c r="J48" s="208"/>
      <c r="L48" s="348"/>
      <c r="M48" s="350"/>
    </row>
    <row r="49" spans="2:13" ht="30">
      <c r="B49" s="275" t="s">
        <v>108</v>
      </c>
      <c r="C49" s="430" t="s">
        <v>243</v>
      </c>
      <c r="D49" s="276">
        <f>'4.Energy_Resource_Quant_Summary'!E28*$C$19*$F$19</f>
        <v>0</v>
      </c>
      <c r="E49" s="277">
        <f>'4.Energy_Resource_Quant_Summary'!E28*$D$19*$F$19</f>
        <v>12000000</v>
      </c>
      <c r="F49" s="278">
        <f>'4.Energy_Resource_Quant_Summary'!E28*$E$19*$F$19</f>
        <v>0</v>
      </c>
      <c r="G49" s="276">
        <f>'4.Energy_Resource_Quant_Summary'!E28*$C$23*$F$23</f>
        <v>0</v>
      </c>
      <c r="H49" s="277">
        <f>'4.Energy_Resource_Quant_Summary'!E28*$D$23*$F$23</f>
        <v>120000000</v>
      </c>
      <c r="I49" s="278">
        <f>'4.Energy_Resource_Quant_Summary'!E28*$E$23*$F$23</f>
        <v>0</v>
      </c>
      <c r="J49" s="208"/>
      <c r="L49" s="348"/>
      <c r="M49" s="350"/>
    </row>
    <row r="50" spans="2:13" ht="30.75" thickBot="1">
      <c r="B50" s="315" t="s">
        <v>109</v>
      </c>
      <c r="C50" s="431" t="s">
        <v>243</v>
      </c>
      <c r="D50" s="316">
        <f>'4.Energy_Resource_Quant_Summary'!F28*$C$20*$F$20</f>
        <v>0</v>
      </c>
      <c r="E50" s="317">
        <f>'4.Energy_Resource_Quant_Summary'!F28*$D$20*$F$20</f>
        <v>0</v>
      </c>
      <c r="F50" s="318">
        <f>'4.Energy_Resource_Quant_Summary'!F28*$E$20*$F$20</f>
        <v>4166666.666666667</v>
      </c>
      <c r="G50" s="316">
        <f>'4.Energy_Resource_Quant_Summary'!F28*$C$24*$F$24</f>
        <v>0</v>
      </c>
      <c r="H50" s="317">
        <f>'4.Energy_Resource_Quant_Summary'!F28*$D$24*$F$24</f>
        <v>0</v>
      </c>
      <c r="I50" s="318">
        <f>'4.Energy_Resource_Quant_Summary'!F28*$E$24*$F$24</f>
        <v>41666666.666666672</v>
      </c>
      <c r="J50" s="208"/>
    </row>
    <row r="51" spans="2:13" ht="18.95" customHeight="1" thickBot="1">
      <c r="B51" s="310" t="s">
        <v>80</v>
      </c>
      <c r="C51" s="432" t="s">
        <v>81</v>
      </c>
      <c r="D51" s="281">
        <f>SUM(D52:D54)</f>
        <v>13429.883927275197</v>
      </c>
      <c r="E51" s="305">
        <f t="shared" ref="E51:I51" si="7">SUM(E52:E54)</f>
        <v>31336.395830308797</v>
      </c>
      <c r="F51" s="282">
        <f t="shared" si="7"/>
        <v>8953.2559515167995</v>
      </c>
      <c r="G51" s="281">
        <f t="shared" si="7"/>
        <v>134298.839272752</v>
      </c>
      <c r="H51" s="305">
        <f t="shared" si="7"/>
        <v>313363.95830308797</v>
      </c>
      <c r="I51" s="282">
        <f t="shared" si="7"/>
        <v>89532.559515168003</v>
      </c>
      <c r="J51" s="208"/>
    </row>
    <row r="52" spans="2:13">
      <c r="B52" s="283" t="s">
        <v>8</v>
      </c>
      <c r="C52" s="433" t="s">
        <v>168</v>
      </c>
      <c r="D52" s="284">
        <f>'4.Energy_Resource_Quant_Summary'!D29*$C$18*$F$18</f>
        <v>13429.883927275197</v>
      </c>
      <c r="E52" s="285">
        <f>'4.Energy_Resource_Quant_Summary'!D29*$D$18*$F$18</f>
        <v>0</v>
      </c>
      <c r="F52" s="286">
        <f>'4.Energy_Resource_Quant_Summary'!D29*$E$18*$F$18</f>
        <v>0</v>
      </c>
      <c r="G52" s="284">
        <f>'4.Energy_Resource_Quant_Summary'!D29*$C$22*$F$22</f>
        <v>134298.839272752</v>
      </c>
      <c r="H52" s="285">
        <f>'4.Energy_Resource_Quant_Summary'!D29*$D$22*$F$22</f>
        <v>0</v>
      </c>
      <c r="I52" s="286">
        <f>'4.Energy_Resource_Quant_Summary'!D29*$E$22*$F$22</f>
        <v>0</v>
      </c>
      <c r="J52" s="208"/>
    </row>
    <row r="53" spans="2:13">
      <c r="B53" s="287" t="s">
        <v>108</v>
      </c>
      <c r="C53" s="433" t="s">
        <v>168</v>
      </c>
      <c r="D53" s="288">
        <f>'4.Energy_Resource_Quant_Summary'!E29*$C$19*$F$19</f>
        <v>0</v>
      </c>
      <c r="E53" s="289">
        <f>'4.Energy_Resource_Quant_Summary'!E29*$D$19*$F$19</f>
        <v>31336.395830308797</v>
      </c>
      <c r="F53" s="290">
        <f>'4.Energy_Resource_Quant_Summary'!E29*$E$19*$F$19</f>
        <v>0</v>
      </c>
      <c r="G53" s="288">
        <f>'4.Energy_Resource_Quant_Summary'!E29*$C$23*$F$23</f>
        <v>0</v>
      </c>
      <c r="H53" s="289">
        <f>'4.Energy_Resource_Quant_Summary'!E29*$D$23*$F$23</f>
        <v>313363.95830308797</v>
      </c>
      <c r="I53" s="290">
        <f>'4.Energy_Resource_Quant_Summary'!E29*$E$23*$F$23</f>
        <v>0</v>
      </c>
      <c r="J53" s="208"/>
    </row>
    <row r="54" spans="2:13" ht="16.5" thickBot="1">
      <c r="B54" s="306" t="s">
        <v>109</v>
      </c>
      <c r="C54" s="434" t="s">
        <v>168</v>
      </c>
      <c r="D54" s="307">
        <f>'4.Energy_Resource_Quant_Summary'!F29*$C$20*$F$20</f>
        <v>0</v>
      </c>
      <c r="E54" s="308">
        <f>'4.Energy_Resource_Quant_Summary'!F29*$D$20*$F$20</f>
        <v>0</v>
      </c>
      <c r="F54" s="309">
        <f>'4.Energy_Resource_Quant_Summary'!F29*$E$20*$F$20</f>
        <v>8953.2559515167995</v>
      </c>
      <c r="G54" s="307">
        <f>'4.Energy_Resource_Quant_Summary'!F29*$C$24*$F$24</f>
        <v>0</v>
      </c>
      <c r="H54" s="308">
        <f>'4.Energy_Resource_Quant_Summary'!F29*$D$24*$F$24</f>
        <v>0</v>
      </c>
      <c r="I54" s="309">
        <f>'4.Energy_Resource_Quant_Summary'!F29*$E$24*$F$24</f>
        <v>89532.559515168003</v>
      </c>
      <c r="J54" s="208"/>
    </row>
    <row r="55" spans="2:13" ht="30.75" thickBot="1">
      <c r="B55" s="300" t="s">
        <v>80</v>
      </c>
      <c r="C55" s="435" t="s">
        <v>157</v>
      </c>
      <c r="D55" s="301">
        <f t="shared" ref="D55:I55" si="8">CONVERT(D51,"l", "gal")/365</f>
        <v>9.7199999999999989</v>
      </c>
      <c r="E55" s="302">
        <f t="shared" si="8"/>
        <v>22.679999999999996</v>
      </c>
      <c r="F55" s="303">
        <f t="shared" si="8"/>
        <v>6.4799999999999995</v>
      </c>
      <c r="G55" s="301">
        <f t="shared" si="8"/>
        <v>97.2</v>
      </c>
      <c r="H55" s="302">
        <f t="shared" si="8"/>
        <v>226.8</v>
      </c>
      <c r="I55" s="303">
        <f t="shared" si="8"/>
        <v>64.8</v>
      </c>
      <c r="J55" s="208"/>
    </row>
    <row r="56" spans="2:13">
      <c r="B56" s="208"/>
      <c r="C56" s="208"/>
      <c r="D56" s="208"/>
      <c r="E56" s="208"/>
      <c r="F56" s="208"/>
      <c r="G56" s="208"/>
      <c r="H56" s="208"/>
      <c r="I56" s="208"/>
      <c r="J56" s="208"/>
    </row>
  </sheetData>
  <mergeCells count="20">
    <mergeCell ref="D13:F13"/>
    <mergeCell ref="D14:F16"/>
    <mergeCell ref="D8:F8"/>
    <mergeCell ref="H3:I3"/>
    <mergeCell ref="H4:I4"/>
    <mergeCell ref="H5:I5"/>
    <mergeCell ref="F10:F12"/>
    <mergeCell ref="D6:F6"/>
    <mergeCell ref="D7:F7"/>
    <mergeCell ref="B1:F1"/>
    <mergeCell ref="D3:F3"/>
    <mergeCell ref="D4:F4"/>
    <mergeCell ref="D5:F5"/>
    <mergeCell ref="D2:F2"/>
    <mergeCell ref="G28:I28"/>
    <mergeCell ref="D28:F28"/>
    <mergeCell ref="B27:B29"/>
    <mergeCell ref="C27:C29"/>
    <mergeCell ref="U25:U26"/>
    <mergeCell ref="B26:F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5EF32-2572-924D-B3D2-E4C9075B6C39}">
  <sheetPr>
    <tabColor rgb="FFFFFD78"/>
  </sheetPr>
  <dimension ref="B1:C22"/>
  <sheetViews>
    <sheetView workbookViewId="0"/>
  </sheetViews>
  <sheetFormatPr defaultColWidth="10.875" defaultRowHeight="15.75"/>
  <cols>
    <col min="1" max="1" width="3.625" style="364" customWidth="1"/>
    <col min="2" max="2" width="3.375" style="363" customWidth="1"/>
    <col min="3" max="3" width="184.875" style="363" customWidth="1"/>
    <col min="4" max="16384" width="10.875" style="364"/>
  </cols>
  <sheetData>
    <row r="1" spans="2:3">
      <c r="B1" s="364"/>
      <c r="C1" s="364"/>
    </row>
    <row r="2" spans="2:3">
      <c r="B2" s="573" t="s">
        <v>106</v>
      </c>
      <c r="C2" s="573"/>
    </row>
    <row r="3" spans="2:3">
      <c r="B3" s="365">
        <v>1</v>
      </c>
      <c r="C3" s="436" t="s">
        <v>228</v>
      </c>
    </row>
    <row r="4" spans="2:3" ht="31.5">
      <c r="B4" s="365">
        <v>2</v>
      </c>
      <c r="C4" s="436" t="s">
        <v>229</v>
      </c>
    </row>
    <row r="5" spans="2:3">
      <c r="B5" s="365">
        <v>3</v>
      </c>
      <c r="C5" s="436" t="s">
        <v>230</v>
      </c>
    </row>
    <row r="6" spans="2:3" ht="31.5">
      <c r="B6" s="365">
        <v>4</v>
      </c>
      <c r="C6" s="436" t="s">
        <v>231</v>
      </c>
    </row>
    <row r="7" spans="2:3">
      <c r="B7" s="365">
        <v>5</v>
      </c>
      <c r="C7" s="436" t="s">
        <v>232</v>
      </c>
    </row>
    <row r="8" spans="2:3" ht="15.95" customHeight="1">
      <c r="B8" s="365">
        <v>6</v>
      </c>
      <c r="C8" s="436" t="s">
        <v>233</v>
      </c>
    </row>
    <row r="9" spans="2:3" ht="15.95" customHeight="1">
      <c r="B9" s="365">
        <v>7</v>
      </c>
      <c r="C9" s="436" t="s">
        <v>234</v>
      </c>
    </row>
    <row r="10" spans="2:3" ht="15.95" customHeight="1">
      <c r="B10" s="365">
        <v>8</v>
      </c>
      <c r="C10" s="436" t="s">
        <v>235</v>
      </c>
    </row>
    <row r="11" spans="2:3" ht="15.95" customHeight="1">
      <c r="B11" s="365">
        <v>9</v>
      </c>
      <c r="C11" s="436" t="s">
        <v>236</v>
      </c>
    </row>
    <row r="12" spans="2:3">
      <c r="B12" s="365">
        <v>10</v>
      </c>
      <c r="C12" s="436" t="s">
        <v>237</v>
      </c>
    </row>
    <row r="13" spans="2:3" ht="31.5">
      <c r="B13" s="365">
        <v>11</v>
      </c>
      <c r="C13" s="437" t="s">
        <v>238</v>
      </c>
    </row>
    <row r="14" spans="2:3">
      <c r="B14" s="365">
        <v>12</v>
      </c>
      <c r="C14" s="437" t="s">
        <v>249</v>
      </c>
    </row>
    <row r="17" spans="2:3" ht="39" customHeight="1">
      <c r="B17" s="573" t="s">
        <v>244</v>
      </c>
      <c r="C17" s="573"/>
    </row>
    <row r="18" spans="2:3">
      <c r="B18" s="365">
        <v>1</v>
      </c>
      <c r="C18" s="436" t="s">
        <v>245</v>
      </c>
    </row>
    <row r="19" spans="2:3">
      <c r="B19" s="365">
        <v>2</v>
      </c>
      <c r="C19" s="436" t="s">
        <v>246</v>
      </c>
    </row>
    <row r="20" spans="2:3">
      <c r="B20" s="365">
        <v>3</v>
      </c>
      <c r="C20" s="436" t="s">
        <v>247</v>
      </c>
    </row>
    <row r="21" spans="2:3" ht="15.95" customHeight="1"/>
    <row r="22" spans="2:3" ht="15.95" customHeight="1">
      <c r="B22" s="573" t="s">
        <v>255</v>
      </c>
      <c r="C22" s="573"/>
    </row>
  </sheetData>
  <mergeCells count="3">
    <mergeCell ref="B2:C2"/>
    <mergeCell ref="B17:C17"/>
    <mergeCell ref="B22:C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27A8358F10B94CA485FB37C0957981" ma:contentTypeVersion="12" ma:contentTypeDescription="Create a new document." ma:contentTypeScope="" ma:versionID="28be4c0d408b64a86d1b7e19ffc889a5">
  <xsd:schema xmlns:xsd="http://www.w3.org/2001/XMLSchema" xmlns:xs="http://www.w3.org/2001/XMLSchema" xmlns:p="http://schemas.microsoft.com/office/2006/metadata/properties" xmlns:ns2="714a69a3-ced0-4f4a-8863-1102bb28cc74" xmlns:ns3="c86addd1-f988-45e4-a2aa-045508c0c752" targetNamespace="http://schemas.microsoft.com/office/2006/metadata/properties" ma:root="true" ma:fieldsID="fb607b6224f82b5a0b1fe16ca66768fe" ns2:_="" ns3:_="">
    <xsd:import namespace="714a69a3-ced0-4f4a-8863-1102bb28cc74"/>
    <xsd:import namespace="c86addd1-f988-45e4-a2aa-045508c0c7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a69a3-ced0-4f4a-8863-1102bb28cc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8ac8405-059b-47f8-b48a-bbaeae0205a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86addd1-f988-45e4-a2aa-045508c0c7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68b47a-6c16-4fdb-a498-4f7bf9c6bcbe}" ma:internalName="TaxCatchAll" ma:showField="CatchAllData" ma:web="c86addd1-f988-45e4-a2aa-045508c0c7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4a69a3-ced0-4f4a-8863-1102bb28cc74">
      <Terms xmlns="http://schemas.microsoft.com/office/infopath/2007/PartnerControls"/>
    </lcf76f155ced4ddcb4097134ff3c332f>
    <TaxCatchAll xmlns="c86addd1-f988-45e4-a2aa-045508c0c752" xsi:nil="true"/>
  </documentManagement>
</p:properties>
</file>

<file path=customXml/itemProps1.xml><?xml version="1.0" encoding="utf-8"?>
<ds:datastoreItem xmlns:ds="http://schemas.openxmlformats.org/officeDocument/2006/customXml" ds:itemID="{9FA8DDF0-15B7-40F2-BFFA-6786B7B1D24F}">
  <ds:schemaRefs>
    <ds:schemaRef ds:uri="http://schemas.microsoft.com/sharepoint/v3/contenttype/forms"/>
  </ds:schemaRefs>
</ds:datastoreItem>
</file>

<file path=customXml/itemProps2.xml><?xml version="1.0" encoding="utf-8"?>
<ds:datastoreItem xmlns:ds="http://schemas.openxmlformats.org/officeDocument/2006/customXml" ds:itemID="{0DC98504-DFFC-4575-A6D7-FA32EBD105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4a69a3-ced0-4f4a-8863-1102bb28cc74"/>
    <ds:schemaRef ds:uri="c86addd1-f988-45e4-a2aa-045508c0c7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18EE18-F5F1-49C2-B885-AE1A040E5D70}">
  <ds:schemaRefs>
    <ds:schemaRef ds:uri="http://schemas.microsoft.com/office/2006/documentManagement/types"/>
    <ds:schemaRef ds:uri="http://schemas.microsoft.com/office/2006/metadata/properties"/>
    <ds:schemaRef ds:uri="http://purl.org/dc/terms/"/>
    <ds:schemaRef ds:uri="http://purl.org/dc/dcmitype/"/>
    <ds:schemaRef ds:uri="c86addd1-f988-45e4-a2aa-045508c0c752"/>
    <ds:schemaRef ds:uri="http://schemas.microsoft.com/office/infopath/2007/PartnerControls"/>
    <ds:schemaRef ds:uri="http://www.w3.org/XML/1998/namespace"/>
    <ds:schemaRef ds:uri="http://schemas.openxmlformats.org/package/2006/metadata/core-properties"/>
    <ds:schemaRef ds:uri="714a69a3-ced0-4f4a-8863-1102bb28cc74"/>
    <ds:schemaRef ds:uri="http://purl.org/dc/elements/1.1/"/>
  </ds:schemaRefs>
</ds:datastoreItem>
</file>

<file path=docMetadata/LabelInfo.xml><?xml version="1.0" encoding="utf-8"?>
<clbl:labelList xmlns:clbl="http://schemas.microsoft.com/office/2020/mipLabelMetadata">
  <clbl:label id="{db3dbd43-4c4b-4544-9f8a-0553f9f5f25e}" enabled="0" method="" siteId="{db3dbd43-4c4b-4544-9f8a-0553f9f5f25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Table_of_Contents</vt:lpstr>
      <vt:lpstr>2. Quantum_System_Configuration</vt:lpstr>
      <vt:lpstr>3. Energy_Resource_Calculations</vt:lpstr>
      <vt:lpstr>4.Energy_Resource_Quant_Summary</vt:lpstr>
      <vt:lpstr>5. Future_Quantum_Scaling</vt:lpstr>
      <vt:lpstr>6. 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Naushita Sharma</dc:creator>
  <cp:keywords/>
  <dc:description/>
  <cp:lastModifiedBy>McCollum, David</cp:lastModifiedBy>
  <cp:revision/>
  <dcterms:created xsi:type="dcterms:W3CDTF">2025-04-22T11:51:54Z</dcterms:created>
  <dcterms:modified xsi:type="dcterms:W3CDTF">2025-09-25T19:51:48Z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0x0101007027A8358F10B94CA485FB37C0957981</vt:lpwstr>
  </property>
  <property fmtid="{D5CDD505-2E9C-101B-9397-08002B2CF9AE}" pid="3" name="MediaServiceImageTags">
    <vt:lpwstr/>
  </property>
</Properties>
</file>